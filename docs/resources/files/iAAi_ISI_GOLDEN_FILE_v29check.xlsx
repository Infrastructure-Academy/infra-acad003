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EF79CA17-77D7-194B-ACD3-B07CD29564BA}" xr6:coauthVersionLast="47" xr6:coauthVersionMax="47" xr10:uidLastSave="{00000000-0000-0000-0000-000000000000}"/>
  <bookViews>
    <workbookView xWindow="0" yWindow="0" windowWidth="16384" windowHeight="8192" xr2:uid="{00000000-000D-0000-FFFF-FFFF00000000}"/>
  </bookViews>
  <sheets>
    <sheet name="COVER" sheetId="1" r:id="rId1"/>
    <sheet name="INDEX" sheetId="2" r:id="rId2"/>
    <sheet name="INDEX (Print)" sheetId="3" r:id="rId3"/>
    <sheet name="Change Control Log" sheetId="4" r:id="rId4"/>
    <sheet name="UIX Audit Record" sheetId="5" r:id="rId5"/>
    <sheet name="Part 1 - CSE in 20 Minutes" sheetId="6" r:id="rId6"/>
    <sheet name="Part 2 - CSE 37 Historical" sheetId="7" r:id="rId7"/>
    <sheet name="Part 3 - 23 Modern Projects" sheetId="8" r:id="rId8"/>
    <sheet name="Part 4 - Unified 60" sheetId="9" r:id="rId9"/>
    <sheet name="Education Gap (First Cause)" sheetId="10" r:id="rId10"/>
    <sheet name="Dyad Taxonomy (Block 617)" sheetId="11" r:id="rId11"/>
    <sheet name="Relay Coverage Map" sheetId="12" r:id="rId12"/>
    <sheet name="Formula Reference" sheetId="13" r:id="rId13"/>
    <sheet name="Scholar Mapping" sheetId="14" r:id="rId14"/>
    <sheet name="Chronological Flow Guide" sheetId="15" r:id="rId15"/>
    <sheet name="4Cs — β Drag Forces" sheetId="16" r:id="rId16"/>
    <sheet name="4Rs Intervention" sheetId="17" r:id="rId17"/>
    <sheet name="BEACON Stress-Test" sheetId="18" r:id="rId18"/>
    <sheet name="Three Modes" sheetId="19" r:id="rId19"/>
    <sheet name="Integration Levels" sheetId="20" r:id="rId20"/>
    <sheet name="MPNC Fleet Roster" sheetId="21" r:id="rId21"/>
    <sheet name="Combat Statistics" sheetId="22" r:id="rId22"/>
    <sheet name="Pilot FITS Mapping" sheetId="23" r:id="rId23"/>
    <sheet name="Fleet Coordination" sheetId="24" r:id="rId24"/>
    <sheet name="AD&amp;D Ability Scores" sheetId="25" r:id="rId25"/>
    <sheet name="Vessel-Relay Alignment" sheetId="26" r:id="rId26"/>
    <sheet name="Dearden Field Grid" sheetId="27" r:id="rId27"/>
    <sheet name="Level Progression" sheetId="28" r:id="rId28"/>
    <sheet name="Equipment Suite" sheetId="29" r:id="rId29"/>
    <sheet name="RPG Mechanics Summary" sheetId="30" r:id="rId30"/>
    <sheet name="Games Research" sheetId="31" r:id="rId31"/>
    <sheet name="Dearden Field 60" sheetId="32" r:id="rId32"/>
    <sheet name="Master Register" sheetId="33" r:id="rId33"/>
    <sheet name="4C-4R Strategic Matrix" sheetId="34" r:id="rId34"/>
    <sheet name="ICE Matrix" sheetId="35" r:id="rId35"/>
    <sheet name="5 Pillars (300-Node)" sheetId="36" r:id="rId36"/>
    <sheet name="Doctrine &amp; Laws" sheetId="37" r:id="rId37"/>
    <sheet name="ISI Calculator Architecture" sheetId="38" r:id="rId38"/>
    <sheet name="App Checklist" sheetId="39" r:id="rId39"/>
    <sheet name="InfraDex Species" sheetId="40" r:id="rId40"/>
    <sheet name="Monetisation Mechanics" sheetId="41" r:id="rId41"/>
    <sheet name="Bug Bounty System" sheetId="42" r:id="rId42"/>
    <sheet name="UI Animation Spec" sheetId="43" r:id="rId43"/>
    <sheet name="Mobile Layout Schema" sheetId="44" r:id="rId44"/>
    <sheet name="Desktop Layout Schema" sheetId="45" r:id="rId45"/>
    <sheet name="Citations &amp; References" sheetId="46" r:id="rId46"/>
    <sheet name="Video Collateral Library" sheetId="47" r:id="rId47"/>
  </sheets>
  <definedNames>
    <definedName name="_xlnm._FilterDatabase" localSheetId="20" hidden="1">'MPNC Fleet Roster'!$B$6:$K$39</definedName>
    <definedName name="_xlnm.Print_Area" localSheetId="1">INDEX!$A$1:$C$75</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6" l="1"/>
  <c r="H68" i="36"/>
  <c r="G68" i="36"/>
  <c r="F68" i="36"/>
  <c r="E68" i="36"/>
  <c r="I67" i="36"/>
  <c r="H67" i="36"/>
  <c r="G67" i="36"/>
  <c r="F67" i="36"/>
  <c r="E67" i="36"/>
  <c r="E33" i="35"/>
  <c r="E32" i="35"/>
  <c r="E31" i="35"/>
  <c r="E30" i="35"/>
  <c r="E29" i="35"/>
  <c r="E28" i="35"/>
  <c r="E27" i="35"/>
  <c r="B12" i="32"/>
  <c r="C12" i="32"/>
  <c r="D12" i="32"/>
  <c r="E12" i="32"/>
  <c r="F12" i="32"/>
  <c r="G12" i="32"/>
  <c r="H12" i="32"/>
  <c r="I12" i="32"/>
  <c r="J12" i="32"/>
  <c r="K12" i="32"/>
  <c r="L12" i="32"/>
  <c r="M12" i="32"/>
  <c r="N12" i="32"/>
  <c r="N11" i="32"/>
  <c r="N10" i="32"/>
  <c r="N9" i="32"/>
  <c r="N8" i="32"/>
  <c r="N7" i="32"/>
  <c r="O11" i="27"/>
  <c r="N11" i="27"/>
  <c r="M11" i="27"/>
  <c r="L11" i="27"/>
  <c r="K11" i="27"/>
  <c r="J11" i="27"/>
  <c r="I11" i="27"/>
  <c r="H11" i="27"/>
  <c r="G11" i="27"/>
  <c r="F11" i="27"/>
  <c r="E11" i="27"/>
  <c r="D11" i="27"/>
  <c r="C11" i="27"/>
  <c r="O10" i="27"/>
  <c r="O9" i="27"/>
  <c r="O8" i="27"/>
  <c r="O7" i="27"/>
  <c r="O6" i="27"/>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B100" i="20"/>
  <c r="D63" i="20"/>
  <c r="E63" i="20"/>
  <c r="D62" i="20"/>
  <c r="E62" i="20"/>
  <c r="D61" i="20"/>
  <c r="E61" i="20"/>
  <c r="D60" i="20"/>
  <c r="E60" i="20"/>
  <c r="D59" i="20"/>
  <c r="E59" i="20"/>
  <c r="D58" i="20"/>
  <c r="E58" i="20"/>
  <c r="D57" i="20"/>
  <c r="E57" i="20"/>
  <c r="D56" i="20"/>
  <c r="E56" i="20"/>
  <c r="D48" i="20"/>
  <c r="E48" i="20"/>
  <c r="D47" i="20"/>
  <c r="E47" i="20"/>
  <c r="D46" i="20"/>
  <c r="E46" i="20"/>
  <c r="D45" i="20"/>
  <c r="E45" i="20"/>
  <c r="B39" i="20"/>
  <c r="C39" i="20"/>
  <c r="B38" i="20"/>
  <c r="C38" i="20"/>
  <c r="E39" i="20"/>
  <c r="D39" i="20"/>
  <c r="B37" i="20"/>
  <c r="C37" i="20"/>
  <c r="E38" i="20"/>
  <c r="D38" i="20"/>
  <c r="B36" i="20"/>
  <c r="C36" i="20"/>
  <c r="E37" i="20"/>
  <c r="D37" i="20"/>
  <c r="B35" i="20"/>
  <c r="C35" i="20"/>
  <c r="E36" i="20"/>
  <c r="D36" i="20"/>
  <c r="B34" i="20"/>
  <c r="C34" i="20"/>
  <c r="E35" i="20"/>
  <c r="D35" i="20"/>
  <c r="B33" i="20"/>
  <c r="C33" i="20"/>
  <c r="E34" i="20"/>
  <c r="D34" i="20"/>
  <c r="B32" i="20"/>
  <c r="C32" i="20"/>
  <c r="E33" i="20"/>
  <c r="D33" i="20"/>
  <c r="G26" i="20"/>
  <c r="H26" i="20"/>
  <c r="G25" i="20"/>
  <c r="H25" i="20"/>
  <c r="G24" i="20"/>
  <c r="H24" i="20"/>
  <c r="G23" i="20"/>
  <c r="H23" i="20"/>
  <c r="G22" i="20"/>
  <c r="H22" i="20"/>
  <c r="G21" i="20"/>
  <c r="H21" i="20"/>
  <c r="G20" i="20"/>
  <c r="H20" i="20"/>
  <c r="G19" i="20"/>
  <c r="H19" i="20"/>
  <c r="D62" i="18"/>
  <c r="D63" i="18"/>
  <c r="C62" i="18"/>
  <c r="C63" i="18"/>
  <c r="E62" i="18"/>
  <c r="D61" i="18"/>
  <c r="C61" i="18"/>
  <c r="E61" i="18"/>
  <c r="D60" i="18"/>
  <c r="C60" i="18"/>
  <c r="E60" i="18"/>
  <c r="D59" i="18"/>
  <c r="C59" i="18"/>
  <c r="E59" i="18"/>
  <c r="D58" i="18"/>
  <c r="C58" i="18"/>
  <c r="E58" i="18"/>
  <c r="D57" i="18"/>
  <c r="C57" i="18"/>
  <c r="E57" i="18"/>
  <c r="D56" i="18"/>
  <c r="C56" i="18"/>
  <c r="E56" i="18"/>
  <c r="D55" i="18"/>
  <c r="C55" i="18"/>
  <c r="E55" i="18"/>
  <c r="D54" i="18"/>
  <c r="C54" i="18"/>
  <c r="E54" i="18"/>
  <c r="D53" i="18"/>
  <c r="C53" i="18"/>
  <c r="E53" i="18"/>
  <c r="M38" i="7"/>
  <c r="P38" i="7"/>
  <c r="R38" i="7"/>
  <c r="Q38" i="7"/>
  <c r="S38" i="7"/>
  <c r="T38" i="7"/>
  <c r="U38" i="7"/>
  <c r="M37" i="7"/>
  <c r="P37" i="7"/>
  <c r="R37" i="7"/>
  <c r="Q37" i="7"/>
  <c r="S37" i="7"/>
  <c r="T37" i="7"/>
  <c r="U37" i="7"/>
  <c r="M36" i="7"/>
  <c r="P36" i="7"/>
  <c r="R36" i="7"/>
  <c r="Q36" i="7"/>
  <c r="S36" i="7"/>
  <c r="T36" i="7"/>
  <c r="U36" i="7"/>
  <c r="M35" i="7"/>
  <c r="P35" i="7"/>
  <c r="R35" i="7"/>
  <c r="Q35" i="7"/>
  <c r="S35" i="7"/>
  <c r="T35" i="7"/>
  <c r="U35" i="7"/>
  <c r="M34" i="7"/>
  <c r="P34" i="7"/>
  <c r="R34" i="7"/>
  <c r="Q34" i="7"/>
  <c r="S34" i="7"/>
  <c r="T34" i="7"/>
  <c r="U34" i="7"/>
  <c r="M33" i="7"/>
  <c r="P33" i="7"/>
  <c r="R33" i="7"/>
  <c r="Q33" i="7"/>
  <c r="S33" i="7"/>
  <c r="T33" i="7"/>
  <c r="U33" i="7"/>
  <c r="M32" i="7"/>
  <c r="P32" i="7"/>
  <c r="R32" i="7"/>
  <c r="Q32" i="7"/>
  <c r="S32" i="7"/>
  <c r="T32" i="7"/>
  <c r="U32" i="7"/>
  <c r="M31" i="7"/>
  <c r="P31" i="7"/>
  <c r="R31" i="7"/>
  <c r="Q31" i="7"/>
  <c r="S31" i="7"/>
  <c r="T31" i="7"/>
  <c r="U31" i="7"/>
  <c r="M30" i="7"/>
  <c r="P30" i="7"/>
  <c r="R30" i="7"/>
  <c r="Q30" i="7"/>
  <c r="S30" i="7"/>
  <c r="T30" i="7"/>
  <c r="U30" i="7"/>
  <c r="M29" i="7"/>
  <c r="P29" i="7"/>
  <c r="R29" i="7"/>
  <c r="Q29" i="7"/>
  <c r="S29" i="7"/>
  <c r="T29" i="7"/>
  <c r="U29" i="7"/>
  <c r="M28" i="7"/>
  <c r="P28" i="7"/>
  <c r="R28" i="7"/>
  <c r="Q28" i="7"/>
  <c r="S28" i="7"/>
  <c r="T28" i="7"/>
  <c r="U28" i="7"/>
  <c r="M27" i="7"/>
  <c r="P27" i="7"/>
  <c r="R27" i="7"/>
  <c r="Q27" i="7"/>
  <c r="S27" i="7"/>
  <c r="T27" i="7"/>
  <c r="U27" i="7"/>
  <c r="M26" i="7"/>
  <c r="P26" i="7"/>
  <c r="R26" i="7"/>
  <c r="Q26" i="7"/>
  <c r="S26" i="7"/>
  <c r="T26" i="7"/>
  <c r="U26" i="7"/>
  <c r="M25" i="7"/>
  <c r="P25" i="7"/>
  <c r="R25" i="7"/>
  <c r="Q25" i="7"/>
  <c r="S25" i="7"/>
  <c r="T25" i="7"/>
  <c r="U25" i="7"/>
  <c r="M24" i="7"/>
  <c r="P24" i="7"/>
  <c r="R24" i="7"/>
  <c r="Q24" i="7"/>
  <c r="S24" i="7"/>
  <c r="T24" i="7"/>
  <c r="U24" i="7"/>
  <c r="M23" i="7"/>
  <c r="P23" i="7"/>
  <c r="R23" i="7"/>
  <c r="Q23" i="7"/>
  <c r="S23" i="7"/>
  <c r="T23" i="7"/>
  <c r="U23" i="7"/>
  <c r="M22" i="7"/>
  <c r="P22" i="7"/>
  <c r="R22" i="7"/>
  <c r="Q22" i="7"/>
  <c r="S22" i="7"/>
  <c r="T22" i="7"/>
  <c r="U22" i="7"/>
  <c r="M21" i="7"/>
  <c r="P21" i="7"/>
  <c r="R21" i="7"/>
  <c r="Q21" i="7"/>
  <c r="S21" i="7"/>
  <c r="T21" i="7"/>
  <c r="U21" i="7"/>
  <c r="M20" i="7"/>
  <c r="P20" i="7"/>
  <c r="R20" i="7"/>
  <c r="Q20" i="7"/>
  <c r="S20" i="7"/>
  <c r="T20" i="7"/>
  <c r="U20" i="7"/>
  <c r="M19" i="7"/>
  <c r="P19" i="7"/>
  <c r="R19" i="7"/>
  <c r="Q19" i="7"/>
  <c r="S19" i="7"/>
  <c r="T19" i="7"/>
  <c r="U19" i="7"/>
  <c r="M18" i="7"/>
  <c r="P18" i="7"/>
  <c r="R18" i="7"/>
  <c r="Q18" i="7"/>
  <c r="S18" i="7"/>
  <c r="T18" i="7"/>
  <c r="U18" i="7"/>
  <c r="M17" i="7"/>
  <c r="P17" i="7"/>
  <c r="R17" i="7"/>
  <c r="Q17" i="7"/>
  <c r="S17" i="7"/>
  <c r="T17" i="7"/>
  <c r="U17" i="7"/>
  <c r="M16" i="7"/>
  <c r="P16" i="7"/>
  <c r="R16" i="7"/>
  <c r="Q16" i="7"/>
  <c r="S16" i="7"/>
  <c r="T16" i="7"/>
  <c r="U16" i="7"/>
  <c r="M15" i="7"/>
  <c r="P15" i="7"/>
  <c r="R15" i="7"/>
  <c r="Q15" i="7"/>
  <c r="S15" i="7"/>
  <c r="T15" i="7"/>
  <c r="U15" i="7"/>
  <c r="M14" i="7"/>
  <c r="P14" i="7"/>
  <c r="R14" i="7"/>
  <c r="Q14" i="7"/>
  <c r="S14" i="7"/>
  <c r="T14" i="7"/>
  <c r="U14" i="7"/>
  <c r="M13" i="7"/>
  <c r="P13" i="7"/>
  <c r="R13" i="7"/>
  <c r="Q13" i="7"/>
  <c r="S13" i="7"/>
  <c r="T13" i="7"/>
  <c r="U13" i="7"/>
  <c r="M12" i="7"/>
  <c r="P12" i="7"/>
  <c r="R12" i="7"/>
  <c r="Q12" i="7"/>
  <c r="S12" i="7"/>
  <c r="T12" i="7"/>
  <c r="U12" i="7"/>
  <c r="M11" i="7"/>
  <c r="P11" i="7"/>
  <c r="R11" i="7"/>
  <c r="Q11" i="7"/>
  <c r="S11" i="7"/>
  <c r="T11" i="7"/>
  <c r="U11" i="7"/>
  <c r="M10" i="7"/>
  <c r="P10" i="7"/>
  <c r="R10" i="7"/>
  <c r="Q10" i="7"/>
  <c r="S10" i="7"/>
  <c r="T10" i="7"/>
  <c r="U10" i="7"/>
  <c r="M9" i="7"/>
  <c r="P9" i="7"/>
  <c r="R9" i="7"/>
  <c r="Q9" i="7"/>
  <c r="S9" i="7"/>
  <c r="T9" i="7"/>
  <c r="U9" i="7"/>
  <c r="M8" i="7"/>
  <c r="P8" i="7"/>
  <c r="R8" i="7"/>
  <c r="Q8" i="7"/>
  <c r="S8" i="7"/>
  <c r="T8" i="7"/>
  <c r="U8" i="7"/>
  <c r="M7" i="7"/>
  <c r="P7" i="7"/>
  <c r="R7" i="7"/>
  <c r="Q7" i="7"/>
  <c r="S7" i="7"/>
  <c r="T7" i="7"/>
  <c r="U7" i="7"/>
  <c r="M6" i="7"/>
  <c r="P6" i="7"/>
  <c r="R6" i="7"/>
  <c r="Q6" i="7"/>
  <c r="S6" i="7"/>
  <c r="T6" i="7"/>
  <c r="U6" i="7"/>
  <c r="M5" i="7"/>
  <c r="P5" i="7"/>
  <c r="R5" i="7"/>
  <c r="Q5" i="7"/>
  <c r="S5" i="7"/>
  <c r="T5" i="7"/>
  <c r="U5" i="7"/>
  <c r="M4" i="7"/>
  <c r="P4" i="7"/>
  <c r="R4" i="7"/>
  <c r="Q4" i="7"/>
  <c r="S4" i="7"/>
  <c r="T4" i="7"/>
  <c r="U4" i="7"/>
  <c r="M3" i="7"/>
  <c r="P3" i="7"/>
  <c r="R3" i="7"/>
  <c r="Q3" i="7"/>
  <c r="S3" i="7"/>
  <c r="T3" i="7"/>
  <c r="U3" i="7"/>
  <c r="M2" i="7"/>
  <c r="P2" i="7"/>
  <c r="R2" i="7"/>
  <c r="Q2" i="7"/>
  <c r="S2" i="7"/>
  <c r="T2" i="7"/>
  <c r="U2" i="7"/>
</calcChain>
</file>

<file path=xl/sharedStrings.xml><?xml version="1.0" encoding="utf-8"?>
<sst xmlns="http://schemas.openxmlformats.org/spreadsheetml/2006/main" count="8825" uniqueCount="4656">
  <si>
    <t>CIVILISATIONAL SYSTEMS ENGINEERING</t>
  </si>
  <si>
    <t>( C S E )</t>
  </si>
  <si>
    <t>iAAi ISI Expanded Golden File</t>
  </si>
  <si>
    <t>The Specification Document for Infrastructure Education</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</si>
  <si>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</si>
  <si>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</si>
  <si>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</si>
  <si>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</si>
  <si>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</si>
  <si>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</si>
  <si>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Ir. Nigel T. Dearden CEng MICE</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</si>
  <si>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</si>
  <si>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</si>
  <si>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</si>
  <si>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</si>
  <si>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</si>
  <si>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</si>
  <si>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29  •  July 2026  •  47 Tabs  •  5-Part Tiered Structure</t>
  </si>
  <si>
    <t>The journey is the work.</t>
  </si>
  <si>
    <t>ISO/IEC 29500  •  ISO 10303-1  •  ISO 15489-1:2016  •  ISO 5966  •  UK DfE  •  WIPO</t>
  </si>
  <si>
    <t>CONTENTS</t>
  </si>
  <si>
    <t>5-Part Tiered Structure  •  47 Tabs  •  v29  •  DARK MODE</t>
  </si>
  <si>
    <t>ID</t>
  </si>
  <si>
    <t>TAB NAME</t>
  </si>
  <si>
    <t>DESCRIPTION</t>
  </si>
  <si>
    <t>SECTION 1 — FOUNDATION</t>
  </si>
  <si>
    <t>▶</t>
  </si>
  <si>
    <t>1-1</t>
  </si>
  <si>
    <t>Part 1 - CSE in 20 Minutes</t>
  </si>
  <si>
    <t>Core CSE framework — 12 Relays, 5 Webs, 5 Pillars</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</si>
  <si>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</si>
  <si>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</si>
  <si>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</si>
  <si>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</si>
  <si>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</si>
  <si>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</si>
  <si>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</si>
  <si>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</si>
  <si>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</si>
  <si>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1-5</t>
  </si>
  <si>
    <t>Education Gap (First Cause)</t>
  </si>
  <si>
    <t>The gap that necessitates CSE — why infrastructure education is missing</t>
  </si>
  <si>
    <t>1-6</t>
  </si>
  <si>
    <t>Dyad Taxonomy (Block 617)</t>
  </si>
  <si>
    <t>Human-AI classification system — HICE spectrum H10 to C10</t>
  </si>
  <si>
    <t>1-7</t>
  </si>
  <si>
    <t>Relay Coverage Map</t>
  </si>
  <si>
    <t>Coverage mapping across 12 Relays for all base cases</t>
  </si>
  <si>
    <t>1-8</t>
  </si>
  <si>
    <t>Formula Reference</t>
  </si>
  <si>
    <t>Complete formula compendium — ISI, HICE, Seesaw, M(L), Signal</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</si>
  <si>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</si>
  <si>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</si>
  <si>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</si>
  <si>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</si>
  <si>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</si>
  <si>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</si>
  <si>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</si>
  <si>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</si>
  <si>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</si>
  <si>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</si>
  <si>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2-2</t>
  </si>
  <si>
    <t>4Rs Intervention</t>
  </si>
  <si>
    <t>4Rs remembrance force application — Revelation, Resilience, Regeneration, Recursion</t>
  </si>
  <si>
    <t>2-3</t>
  </si>
  <si>
    <t>BEACON Stress-Test</t>
  </si>
  <si>
    <t>BEACON gate stress-test methodology — Prove Before You Build</t>
  </si>
  <si>
    <t>2-4</t>
  </si>
  <si>
    <t>Three Modes</t>
  </si>
  <si>
    <t>Three operational modes of the ISI Calculator</t>
  </si>
  <si>
    <t>2-5</t>
  </si>
  <si>
    <t>Integration Levels</t>
  </si>
  <si>
    <t>8 integration levels from Site (L1) to Guardian of the Planet (L8)</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</si>
  <si>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</si>
  <si>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</si>
  <si>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</si>
  <si>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</si>
  <si>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</si>
  <si>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</si>
  <si>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</si>
  <si>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</si>
  <si>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</si>
  <si>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</si>
  <si>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</si>
  <si>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</si>
  <si>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</si>
  <si>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</si>
  <si>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</si>
  <si>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</si>
  <si>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3-6</t>
  </si>
  <si>
    <t>Vessel-Relay Alignment</t>
  </si>
  <si>
    <t>TB home-terrain relay bonuses and vessel assignments</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</si>
  <si>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</si>
  <si>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</si>
  <si>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</si>
  <si>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</si>
  <si>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</si>
  <si>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</si>
  <si>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</si>
  <si>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</si>
  <si>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</si>
  <si>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</si>
  <si>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</si>
  <si>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</si>
  <si>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</si>
  <si>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4-5</t>
  </si>
  <si>
    <t>Games Research</t>
  </si>
  <si>
    <t>Research into game mechanics and educational gaming</t>
  </si>
  <si>
    <t>4-6</t>
  </si>
  <si>
    <t>Dearden Field 60</t>
  </si>
  <si>
    <t>60-node Dearden Field with Web×Relay mapping</t>
  </si>
  <si>
    <t>4-7</t>
  </si>
  <si>
    <t>Master Register</t>
  </si>
  <si>
    <t>143 named InfraDex species master register</t>
  </si>
  <si>
    <t>4-8</t>
  </si>
  <si>
    <t>4C-4R Strategic Matrix</t>
  </si>
  <si>
    <t>4Cs × 4Rs strategic intervention matrix</t>
  </si>
  <si>
    <t>SECTION 5 — ARCHITECTURE</t>
  </si>
  <si>
    <t>5-1</t>
  </si>
  <si>
    <t>ICE Matrix</t>
  </si>
  <si>
    <t>Intelligence × Creative × Emotional tensor — HICE components</t>
  </si>
  <si>
    <t>5-2</t>
  </si>
  <si>
    <t>5 Pillars (300-Node)</t>
  </si>
  <si>
    <t>5 Pillars across 300-node lattice [1,1,1]→[5,12,5]</t>
  </si>
  <si>
    <t>5-3</t>
  </si>
  <si>
    <t>Doctrine &amp; Laws</t>
  </si>
  <si>
    <t>Dearden's Laws, Asimov's Laws, SES doctrine</t>
  </si>
  <si>
    <t>5-4</t>
  </si>
  <si>
    <t>ISI Calculator Architecture</t>
  </si>
  <si>
    <t>FOEAT 5-circle app architecture</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</si>
  <si>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</si>
  <si>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</si>
  <si>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</si>
  <si>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</si>
  <si>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</si>
  <si>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</si>
  <si>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</si>
  <si>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</si>
  <si>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</si>
  <si>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</si>
  <si>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</si>
  <si>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</si>
  <si>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</si>
  <si>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</si>
  <si>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</si>
  <si>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</si>
  <si>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</si>
  <si>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</si>
  <si>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5-11</t>
  </si>
  <si>
    <t>Desktop Layout Schema</t>
  </si>
  <si>
    <t>Desktop/laptop layout definitions — all user feedback incorporated</t>
  </si>
  <si>
    <t>5-12</t>
  </si>
  <si>
    <t>Citations &amp; References</t>
  </si>
  <si>
    <t>Academic citations and source references</t>
  </si>
  <si>
    <t>5-13</t>
  </si>
  <si>
    <t>Video Collateral Library</t>
  </si>
  <si>
    <t>Complete 16-video collateral library — 5 categories, all platforms</t>
  </si>
  <si>
    <t>VERSION CONTROL</t>
  </si>
  <si>
    <t>Version:</t>
  </si>
  <si>
    <t>v29</t>
  </si>
  <si>
    <t>Last Modified:</t>
  </si>
  <si>
    <t>2026-07-10 HKT</t>
  </si>
  <si>
    <t>Total Tabs:</t>
  </si>
  <si>
    <t>47</t>
  </si>
  <si>
    <t>Master File CDN:</t>
  </si>
  <si>
    <t>Single source of truth — app download link</t>
  </si>
  <si>
    <t>⚠</t>
  </si>
  <si>
    <t>⚠ LEGAL: This file is coordinator-only. No subtask delegation. One release, verified, final.</t>
  </si>
  <si>
    <t>5-Part Tiered Structure  •  43 Tabs  •  v27  •  PRINT MODE</t>
  </si>
  <si>
    <t>CSE in 20 Minutes</t>
  </si>
  <si>
    <t>37 Historical Projects</t>
  </si>
  <si>
    <t>23 Modern Projects</t>
  </si>
  <si>
    <t>Unified 60</t>
  </si>
  <si>
    <t>ISI Formula &amp; Proof</t>
  </si>
  <si>
    <t>Mathematical derivation and proof of ISI = A×P×(1−e^(−n/N))/β</t>
  </si>
  <si>
    <t>Seesaw Geometry</t>
  </si>
  <si>
    <t>A×D² = 16 equilibrium and Ridley-Dearden interconnect</t>
  </si>
  <si>
    <t>4Cs (β Drag)</t>
  </si>
  <si>
    <t>4Rs (Remembrance Forces)</t>
  </si>
  <si>
    <t>Revelation, Resilience, Regeneration, Recursion</t>
  </si>
  <si>
    <t>Ebbinghaus Curve</t>
  </si>
  <si>
    <t>Remembrance saturation curve n/N modelling</t>
  </si>
  <si>
    <t>2-6</t>
  </si>
  <si>
    <t>HICE Equation</t>
  </si>
  <si>
    <t>H = I ⊗ C ⊗ E tensor product — Human Quotient</t>
  </si>
  <si>
    <t>4Cs Case Studies</t>
  </si>
  <si>
    <t>4Cs drag analysis across 60 base cases</t>
  </si>
  <si>
    <t>4Rs Treatment</t>
  </si>
  <si>
    <t>4Rs remembrance force application to cases</t>
  </si>
  <si>
    <t>Maslow-Dearden Bridge</t>
  </si>
  <si>
    <t>Individual↔Civilisation interconnect via iCU</t>
  </si>
  <si>
    <t>Time Machine</t>
  </si>
  <si>
    <t>GeoMap location + era pinning for historical analysis</t>
  </si>
  <si>
    <t>Mobilisation Clock</t>
  </si>
  <si>
    <t>Counterbalance Clock — 2050 boundary doctrine</t>
  </si>
  <si>
    <t>FITS Personality Types</t>
  </si>
  <si>
    <t>Fire/Ice/Thunder/Stone alignment system</t>
  </si>
  <si>
    <t>Civilisational Archetypes</t>
  </si>
  <si>
    <t>4 archetypes — class system for Reality Engine</t>
  </si>
  <si>
    <t>DAVID AI Engine</t>
  </si>
  <si>
    <t>Dungeon Master AI — procedural encounter generation</t>
  </si>
  <si>
    <t>Dearden Field (60-Node)</t>
  </si>
  <si>
    <t>60-node base grid — dungeon map</t>
  </si>
  <si>
    <t>Dearden Field (300-Node)</t>
  </si>
  <si>
    <t>300-node full lattice [1,1,1]→[5,12,5]</t>
  </si>
  <si>
    <t>Vehicle Fleet</t>
  </si>
  <si>
    <t>iGO Encounter System</t>
  </si>
  <si>
    <t>Pokémon Go-style discovery mechanics via Asset Capture</t>
  </si>
  <si>
    <t>XP &amp; Progression</t>
  </si>
  <si>
    <t>Rarity-based XP by integration level M(L) = 1 + ln(L)</t>
  </si>
  <si>
    <t>4-9</t>
  </si>
  <si>
    <t>Quest Narrative</t>
  </si>
  <si>
    <t>Infrastructure Ghost Odyssey storyline and missions</t>
  </si>
  <si>
    <t>4-10</t>
  </si>
  <si>
    <t>XCHANGE Economy</t>
  </si>
  <si>
    <t>3 Product Grades × 5 Entry Kits — monetisation</t>
  </si>
  <si>
    <t>4-11</t>
  </si>
  <si>
    <t>Thesis Tracker</t>
  </si>
  <si>
    <t>60/60 campaign completion — academic gate</t>
  </si>
  <si>
    <t>Platform Architecture</t>
  </si>
  <si>
    <t>5 live platforms — Academy/Quest/Xchange/Memorial/News</t>
  </si>
  <si>
    <t>FOEAT Circle System</t>
  </si>
  <si>
    <t>Foundation/Observation/Education/Application/Thesis</t>
  </si>
  <si>
    <t>Scan Modes</t>
  </si>
  <si>
    <t>6 scan modes — RADAR/LIDAR/THERMAL/UV/LASER/NIGHT VISION</t>
  </si>
  <si>
    <t>Intelligence × Creative × Emotional tensor</t>
  </si>
  <si>
    <t>5 Pillars across 300-node lattice</t>
  </si>
  <si>
    <t>Dearden’s Laws, Asimov’s Laws, SES doctrine</t>
  </si>
  <si>
    <t>Mobile-first responsive layout</t>
  </si>
  <si>
    <t>5-14</t>
  </si>
  <si>
    <t>Desktop/laptop layout definitions</t>
  </si>
  <si>
    <t>5-15</t>
  </si>
  <si>
    <t>5-16</t>
  </si>
  <si>
    <t>Quest Video Collaterals</t>
  </si>
  <si>
    <t>Video collateral library for Quest platform</t>
  </si>
  <si>
    <t>5-17</t>
  </si>
  <si>
    <t>UIX Audit Record</t>
  </si>
  <si>
    <t>UIX specification-compliance audit record with score progression</t>
  </si>
  <si>
    <t>v27</t>
  </si>
  <si>
    <t>2026-07-09 HKT</t>
  </si>
  <si>
    <t>43</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</si>
  <si>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</si>
  <si>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</si>
  <si>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</si>
  <si>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</si>
  <si>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</si>
  <si>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</si>
  <si>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</si>
  <si>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</si>
  <si>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</si>
  <si>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</si>
  <si>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</si>
  <si>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</si>
  <si>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</si>
  <si>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</si>
  <si>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</si>
  <si>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</si>
  <si>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</si>
  <si>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</si>
  <si>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</si>
  <si>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</si>
  <si>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</si>
  <si>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</si>
  <si>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</si>
  <si>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</si>
  <si>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</si>
  <si>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</si>
  <si>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</si>
  <si>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</si>
  <si>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</si>
  <si>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</si>
  <si>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</si>
  <si>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</si>
  <si>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</si>
  <si>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</si>
  <si>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</si>
  <si>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</si>
  <si>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</si>
  <si>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</si>
  <si>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</si>
  <si>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</si>
  <si>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</si>
  <si>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</si>
  <si>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</si>
  <si>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</si>
  <si>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</si>
  <si>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</si>
  <si>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</si>
  <si>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</si>
  <si>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</si>
  <si>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SECTION 1 FOUNDATION</t>
  </si>
  <si>
    <t>REORGANISED+RENAMED</t>
  </si>
  <si>
    <t>SECTION 2 THEORY</t>
  </si>
  <si>
    <t>REORGANISED</t>
  </si>
  <si>
    <t>SECTION 3 APPLICATION</t>
  </si>
  <si>
    <t>SECTION 4 REALITY ENGINE</t>
  </si>
  <si>
    <t>SECTION 5 ARCHITECTURE</t>
  </si>
  <si>
    <t>Also referenced as 1-4 Unified 60 in Section 1 — same data, different analytical lens</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</si>
  <si>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</si>
  <si>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</si>
  <si>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</si>
  <si>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</si>
  <si>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</si>
  <si>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</si>
  <si>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</si>
  <si>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</si>
  <si>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</si>
  <si>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</si>
  <si>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</si>
  <si>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</si>
  <si>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</si>
  <si>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</si>
  <si>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</si>
  <si>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</si>
  <si>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</si>
  <si>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</si>
  <si>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</si>
  <si>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</si>
  <si>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</si>
  <si>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</si>
  <si>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</si>
  <si>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</si>
  <si>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</si>
  <si>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</si>
  <si>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</si>
  <si>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</si>
  <si>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</si>
  <si>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</si>
  <si>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</si>
  <si>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</si>
  <si>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</si>
  <si>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</si>
  <si>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</si>
  <si>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</si>
  <si>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</si>
  <si>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</si>
  <si>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</si>
  <si>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</si>
  <si>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</si>
  <si>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</si>
  <si>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</si>
  <si>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</si>
  <si>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</si>
  <si>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</si>
  <si>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</si>
  <si>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</si>
  <si>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</si>
  <si>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</si>
  <si>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</si>
  <si>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</si>
  <si>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</si>
  <si>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CSE PAPER v26 INTEGRATION — Jul 14, 2026</t>
  </si>
  <si>
    <t>Mendeleev Assertion (Executive Summary), 3D Governance Addendum (Section 2.8), Puppeteer Plate (Figure 41), Technical Appendices A-D added. 41 figures total. Add-only from v25 baseline.</t>
  </si>
  <si>
    <t>Golden Excel reverted to teacher/police-approved layout. COVER moved to Tab 1. Version updated to v29.</t>
  </si>
  <si>
    <t>Recorded: 14 Jul 2026 | Source: v25 paper Delta Packets (Gemini Clean) | Status: LOCKED</t>
  </si>
  <si>
    <t>GOLDEN EXCEL v29 SYNC — Jul 14, 2026</t>
  </si>
  <si>
    <t>Formula Reference: Added DIP, 3-6-9 Clock, Tensor Lattice, 500-Generation Compression</t>
  </si>
  <si>
    <t>Doctrine &amp; Laws: Added Sections K (SES-SOS Governor), L (Puppeteer Hierarchy), M (Tensor Lattice), N (NEN 2767)</t>
  </si>
  <si>
    <t>INDEX: Version footer corrected v28→v29, 42→47 Tabs</t>
  </si>
  <si>
    <t>Recorded: 14 Jul 2026 | Source: CSE Paper v26 Delta Packets | Status: VERIFIED</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</si>
  <si>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</si>
  <si>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</si>
  <si>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</si>
  <si>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</si>
  <si>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</si>
  <si>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</si>
  <si>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</si>
  <si>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</si>
  <si>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</si>
  <si>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</si>
  <si>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</si>
  <si>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</si>
  <si>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</si>
  <si>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</si>
  <si>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</si>
  <si>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</si>
  <si>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</si>
  <si>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</si>
  <si>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</si>
  <si>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</si>
  <si>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</si>
  <si>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</si>
  <si>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</si>
  <si>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</si>
  <si>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</si>
  <si>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</si>
  <si>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</si>
  <si>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</si>
  <si>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</si>
  <si>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</si>
  <si>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</si>
  <si>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</si>
  <si>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</si>
  <si>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</si>
  <si>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</si>
  <si>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</si>
  <si>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</si>
  <si>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</si>
  <si>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</si>
  <si>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</si>
  <si>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</si>
  <si>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</si>
  <si>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</si>
  <si>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</si>
  <si>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</si>
  <si>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</si>
  <si>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</si>
  <si>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</si>
  <si>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</si>
  <si>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</si>
  <si>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</si>
  <si>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</si>
  <si>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</si>
  <si>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</si>
  <si>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</si>
  <si>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</si>
  <si>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</si>
  <si>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</si>
  <si>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</si>
  <si>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</si>
  <si>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</si>
  <si>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</si>
  <si>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</si>
  <si>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</si>
  <si>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</si>
  <si>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</si>
  <si>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</si>
  <si>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</si>
  <si>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</si>
  <si>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</si>
  <si>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</si>
  <si>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</si>
  <si>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</si>
  <si>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</si>
  <si>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</si>
  <si>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</si>
  <si>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</si>
  <si>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</si>
  <si>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</si>
  <si>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</si>
  <si>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</si>
  <si>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</si>
  <si>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</si>
  <si>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</si>
  <si>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</si>
  <si>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</si>
  <si>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</si>
  <si>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</si>
  <si>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</si>
  <si>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</si>
  <si>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</si>
  <si>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</si>
  <si>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</si>
  <si>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</si>
  <si>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</si>
  <si>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</si>
  <si>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</si>
  <si>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</si>
  <si>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</si>
  <si>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</si>
  <si>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</si>
  <si>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</si>
  <si>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</si>
  <si>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</si>
  <si>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</si>
  <si>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</si>
  <si>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</si>
  <si>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</si>
  <si>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</si>
  <si>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</si>
  <si>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</si>
  <si>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</si>
  <si>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</si>
  <si>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</si>
  <si>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</si>
  <si>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</si>
  <si>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</si>
  <si>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</si>
  <si>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</si>
  <si>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</si>
  <si>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</si>
  <si>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</si>
  <si>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</si>
  <si>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</si>
  <si>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</si>
  <si>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</si>
  <si>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</si>
  <si>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</si>
  <si>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</si>
  <si>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</si>
  <si>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</si>
  <si>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</si>
  <si>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</si>
  <si>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</si>
  <si>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</si>
  <si>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</si>
  <si>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</si>
  <si>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</si>
  <si>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</si>
  <si>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</si>
  <si>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</si>
  <si>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</si>
  <si>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</si>
  <si>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</si>
  <si>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</si>
  <si>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</si>
  <si>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</si>
  <si>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</si>
  <si>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</si>
  <si>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</si>
  <si>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</si>
  <si>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</si>
  <si>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</si>
  <si>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</si>
  <si>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</si>
  <si>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</si>
  <si>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</si>
  <si>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</si>
  <si>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</si>
  <si>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</si>
  <si>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</si>
  <si>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</si>
  <si>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</si>
  <si>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</si>
  <si>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</si>
  <si>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</si>
  <si>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</si>
  <si>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</si>
  <si>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</si>
  <si>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</si>
  <si>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</si>
  <si>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</si>
  <si>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</si>
  <si>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</si>
  <si>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</si>
  <si>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</si>
  <si>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</si>
  <si>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</si>
  <si>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</si>
  <si>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</si>
  <si>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</si>
  <si>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</si>
  <si>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</si>
  <si>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</si>
  <si>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</si>
  <si>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</si>
  <si>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</si>
  <si>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</si>
  <si>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</si>
  <si>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</si>
  <si>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</si>
  <si>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</si>
  <si>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</si>
  <si>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</si>
  <si>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</si>
  <si>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</si>
  <si>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</si>
  <si>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</si>
  <si>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</si>
  <si>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</si>
  <si>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</si>
  <si>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</si>
  <si>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</si>
  <si>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</si>
  <si>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</si>
  <si>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</si>
  <si>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</si>
  <si>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</si>
  <si>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</si>
  <si>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</si>
  <si>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</si>
  <si>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</si>
  <si>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</si>
  <si>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</si>
  <si>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</si>
  <si>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</si>
  <si>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</si>
  <si>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</si>
  <si>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</si>
  <si>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</si>
  <si>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</si>
  <si>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</si>
  <si>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</si>
  <si>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</si>
  <si>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</si>
  <si>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</si>
  <si>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</si>
  <si>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</si>
  <si>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</si>
  <si>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</si>
  <si>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</si>
  <si>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</si>
  <si>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</si>
  <si>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</si>
  <si>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</si>
  <si>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</si>
  <si>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</si>
  <si>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</si>
  <si>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</si>
  <si>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</si>
  <si>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</si>
  <si>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</si>
  <si>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</si>
  <si>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</si>
  <si>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</si>
  <si>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</si>
  <si>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</si>
  <si>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</si>
  <si>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</si>
  <si>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</si>
  <si>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</si>
  <si>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</si>
  <si>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</si>
  <si>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</si>
  <si>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</si>
  <si>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</si>
  <si>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</si>
  <si>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</si>
  <si>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</si>
  <si>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</si>
  <si>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</si>
  <si>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</si>
  <si>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</si>
  <si>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</si>
  <si>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</si>
  <si>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</si>
  <si>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</si>
  <si>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</si>
  <si>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</si>
  <si>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</si>
  <si>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</si>
  <si>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</si>
  <si>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</si>
  <si>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</si>
  <si>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</si>
  <si>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</si>
  <si>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</si>
  <si>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</si>
  <si>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</si>
  <si>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</si>
  <si>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</si>
  <si>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</si>
  <si>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</si>
  <si>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</si>
  <si>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</si>
  <si>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</si>
  <si>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</si>
  <si>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</si>
  <si>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</si>
  <si>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</si>
  <si>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</si>
  <si>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</si>
  <si>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</si>
  <si>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</si>
  <si>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</si>
  <si>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</si>
  <si>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</si>
  <si>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</si>
  <si>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</si>
  <si>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</si>
  <si>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</si>
  <si>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</si>
  <si>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</si>
  <si>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</si>
  <si>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</si>
  <si>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</si>
  <si>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</si>
  <si>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</si>
  <si>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</si>
  <si>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</si>
  <si>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</si>
  <si>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</si>
  <si>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</si>
  <si>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</si>
  <si>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</si>
  <si>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</si>
  <si>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</si>
  <si>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</si>
  <si>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</si>
  <si>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</si>
  <si>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</si>
  <si>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</si>
  <si>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</si>
  <si>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</si>
  <si>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</si>
  <si>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</si>
  <si>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</si>
  <si>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</si>
  <si>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</si>
  <si>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</si>
  <si>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</si>
  <si>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</si>
  <si>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</si>
  <si>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</si>
  <si>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</si>
  <si>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</si>
  <si>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</si>
  <si>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</si>
  <si>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</si>
  <si>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</si>
  <si>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</si>
  <si>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</si>
  <si>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</si>
  <si>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</si>
  <si>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</si>
  <si>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</si>
  <si>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</si>
  <si>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</si>
  <si>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</si>
  <si>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</si>
  <si>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</si>
  <si>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</si>
  <si>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</si>
  <si>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</si>
  <si>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</si>
  <si>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</si>
  <si>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</si>
  <si>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</si>
  <si>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</si>
  <si>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</si>
  <si>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</si>
  <si>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</si>
  <si>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</si>
  <si>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</si>
  <si>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</si>
  <si>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</si>
  <si>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</si>
  <si>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</si>
  <si>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</si>
  <si>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</si>
  <si>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</si>
  <si>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</si>
  <si>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</si>
  <si>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</si>
  <si>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</si>
  <si>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</si>
  <si>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</si>
  <si>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</si>
  <si>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</si>
  <si>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</si>
  <si>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</si>
  <si>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</si>
  <si>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</si>
  <si>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</si>
  <si>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</si>
  <si>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</si>
  <si>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</si>
  <si>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</si>
  <si>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</si>
  <si>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</si>
  <si>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</si>
  <si>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</si>
  <si>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</si>
  <si>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</si>
  <si>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</si>
  <si>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</si>
  <si>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</si>
  <si>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</si>
  <si>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</si>
  <si>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</si>
  <si>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</si>
  <si>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</si>
  <si>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</si>
  <si>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</si>
  <si>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</si>
  <si>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</si>
  <si>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</si>
  <si>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</si>
  <si>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</si>
  <si>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</si>
  <si>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</si>
  <si>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</si>
  <si>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</si>
  <si>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</si>
  <si>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</si>
  <si>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</si>
  <si>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</si>
  <si>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</si>
  <si>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</si>
  <si>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</si>
  <si>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</si>
  <si>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</si>
  <si>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</si>
  <si>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</si>
  <si>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</si>
  <si>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</si>
  <si>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</si>
  <si>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</si>
  <si>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</si>
  <si>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</si>
  <si>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</si>
  <si>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</si>
  <si>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</si>
  <si>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</si>
  <si>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</si>
  <si>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</si>
  <si>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</si>
  <si>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</si>
  <si>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</si>
  <si>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</si>
  <si>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</si>
  <si>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</si>
  <si>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</si>
  <si>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</si>
  <si>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</si>
  <si>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</si>
  <si>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</si>
  <si>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</si>
  <si>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</si>
  <si>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</si>
  <si>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</si>
  <si>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</si>
  <si>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</si>
  <si>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</si>
  <si>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</si>
  <si>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</si>
  <si>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</si>
  <si>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</si>
  <si>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</si>
  <si>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</si>
  <si>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</si>
  <si>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</si>
  <si>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</si>
  <si>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</si>
  <si>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</si>
  <si>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</si>
  <si>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</si>
  <si>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</si>
  <si>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</si>
  <si>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</si>
  <si>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</si>
  <si>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</si>
  <si>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</si>
  <si>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</si>
  <si>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</si>
  <si>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</si>
  <si>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</si>
  <si>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</si>
  <si>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</si>
  <si>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</si>
  <si>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</si>
  <si>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</si>
  <si>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</si>
  <si>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</si>
  <si>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</si>
  <si>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</si>
  <si>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</si>
  <si>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</si>
  <si>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</si>
  <si>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</si>
  <si>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</si>
  <si>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</si>
  <si>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</si>
  <si>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</si>
  <si>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</si>
  <si>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</si>
  <si>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</si>
  <si>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</si>
  <si>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</si>
  <si>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</si>
  <si>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</si>
  <si>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</si>
  <si>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</si>
  <si>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</si>
  <si>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</si>
  <si>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</si>
  <si>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</si>
  <si>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</si>
  <si>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</si>
  <si>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</si>
  <si>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</si>
  <si>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</si>
  <si>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</si>
  <si>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</si>
  <si>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</si>
  <si>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</si>
  <si>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</si>
  <si>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</si>
  <si>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</si>
  <si>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</si>
  <si>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</si>
  <si>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</si>
  <si>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</si>
  <si>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</si>
  <si>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</si>
  <si>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</si>
  <si>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</si>
  <si>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</si>
  <si>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</si>
  <si>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</si>
  <si>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</si>
  <si>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</si>
  <si>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</si>
  <si>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</si>
  <si>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</si>
  <si>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</si>
  <si>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</si>
  <si>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</si>
  <si>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</si>
  <si>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</si>
  <si>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</si>
  <si>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</si>
  <si>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</si>
  <si>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</si>
  <si>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</si>
  <si>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</si>
  <si>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</si>
  <si>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</si>
  <si>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</si>
  <si>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</si>
  <si>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</si>
  <si>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</si>
  <si>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</si>
  <si>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</si>
  <si>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</si>
  <si>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</si>
  <si>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</si>
  <si>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</si>
  <si>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</si>
  <si>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</si>
  <si>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</si>
  <si>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</si>
  <si>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</si>
  <si>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</si>
  <si>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</si>
  <si>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</si>
  <si>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</si>
  <si>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</si>
  <si>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</si>
  <si>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</si>
  <si>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</si>
  <si>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</si>
  <si>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</si>
  <si>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</si>
  <si>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</si>
  <si>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</si>
  <si>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</si>
  <si>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</si>
  <si>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</si>
  <si>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</si>
  <si>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</si>
  <si>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</si>
  <si>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</si>
  <si>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</si>
  <si>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</si>
  <si>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</si>
  <si>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</si>
  <si>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</si>
  <si>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</si>
  <si>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</si>
  <si>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</si>
  <si>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</si>
  <si>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</si>
  <si>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</si>
  <si>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</si>
  <si>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</si>
  <si>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</si>
  <si>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</si>
  <si>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</si>
  <si>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</si>
  <si>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</si>
  <si>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</si>
  <si>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</si>
  <si>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</si>
  <si>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</si>
  <si>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</si>
  <si>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</si>
  <si>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</si>
  <si>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</si>
  <si>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</si>
  <si>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</si>
  <si>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</si>
  <si>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</si>
  <si>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</si>
  <si>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</si>
  <si>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</si>
  <si>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</si>
  <si>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</si>
  <si>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</si>
  <si>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</si>
  <si>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</si>
  <si>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</si>
  <si>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</si>
  <si>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</si>
  <si>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</si>
  <si>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</si>
  <si>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</si>
  <si>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</si>
  <si>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</si>
  <si>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</si>
  <si>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</si>
  <si>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</si>
  <si>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</si>
  <si>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</si>
  <si>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</si>
  <si>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</si>
  <si>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</si>
  <si>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</si>
  <si>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</si>
  <si>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</si>
  <si>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</si>
  <si>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</si>
  <si>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</si>
  <si>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</si>
  <si>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</si>
  <si>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</si>
  <si>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</si>
  <si>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</si>
  <si>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</si>
  <si>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</si>
  <si>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</si>
  <si>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</si>
  <si>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</si>
  <si>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</si>
  <si>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</si>
  <si>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</si>
  <si>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</si>
  <si>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</si>
  <si>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</si>
  <si>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</si>
  <si>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</si>
  <si>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</si>
  <si>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</si>
  <si>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</si>
  <si>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</si>
  <si>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</si>
  <si>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</si>
  <si>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</si>
  <si>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</si>
  <si>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</si>
  <si>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</si>
  <si>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</si>
  <si>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</si>
  <si>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</si>
  <si>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</si>
  <si>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</si>
  <si>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</si>
  <si>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</si>
  <si>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</si>
  <si>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</si>
  <si>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</si>
  <si>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</si>
  <si>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</si>
  <si>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</si>
  <si>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</si>
  <si>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</si>
  <si>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</si>
  <si>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</si>
  <si>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</si>
  <si>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</si>
  <si>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</si>
  <si>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</si>
  <si>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</si>
  <si>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</si>
  <si>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</si>
  <si>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</si>
  <si>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</si>
  <si>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</si>
  <si>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</si>
  <si>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</si>
  <si>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</si>
  <si>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</si>
  <si>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</si>
  <si>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</si>
  <si>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</si>
  <si>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</si>
  <si>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</si>
  <si>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</si>
  <si>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</si>
  <si>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</si>
  <si>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</si>
  <si>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</si>
  <si>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</si>
  <si>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</si>
  <si>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</si>
  <si>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</si>
  <si>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</si>
  <si>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</si>
  <si>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</si>
  <si>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</si>
  <si>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</si>
  <si>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</si>
  <si>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</si>
  <si>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</si>
  <si>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</si>
  <si>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</si>
  <si>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</si>
  <si>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</si>
  <si>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</si>
  <si>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</si>
  <si>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</si>
  <si>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</si>
  <si>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</si>
  <si>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</si>
  <si>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</si>
  <si>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</si>
  <si>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</si>
  <si>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</si>
  <si>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</si>
  <si>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</si>
  <si>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</si>
  <si>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</si>
  <si>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</si>
  <si>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</si>
  <si>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</si>
  <si>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</si>
  <si>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</si>
  <si>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</si>
  <si>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</si>
  <si>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</si>
  <si>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</si>
  <si>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</si>
  <si>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</si>
  <si>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</si>
  <si>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</si>
  <si>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</si>
  <si>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</si>
  <si>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</si>
  <si>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</si>
  <si>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</si>
  <si>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</si>
  <si>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</si>
  <si>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</si>
  <si>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</si>
  <si>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</si>
  <si>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</si>
  <si>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</si>
  <si>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</si>
  <si>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</si>
  <si>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</si>
  <si>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</si>
  <si>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</si>
  <si>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</si>
  <si>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</si>
  <si>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</si>
  <si>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</si>
  <si>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</si>
  <si>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</si>
  <si>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</si>
  <si>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</si>
  <si>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</si>
  <si>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</si>
  <si>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</si>
  <si>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</si>
  <si>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</si>
  <si>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</si>
  <si>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</si>
  <si>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</si>
  <si>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</si>
  <si>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</si>
  <si>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</si>
  <si>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</si>
  <si>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</si>
  <si>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</si>
  <si>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</si>
  <si>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</si>
  <si>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</si>
  <si>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</si>
  <si>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</si>
  <si>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</si>
  <si>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</si>
  <si>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</si>
  <si>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</si>
  <si>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</si>
  <si>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</si>
  <si>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</si>
  <si>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</si>
  <si>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</si>
  <si>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</si>
  <si>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</si>
  <si>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</si>
  <si>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</si>
  <si>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</si>
  <si>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</si>
  <si>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</si>
  <si>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</si>
  <si>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</si>
  <si>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</si>
  <si>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</si>
  <si>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</si>
  <si>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</si>
  <si>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</si>
  <si>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</si>
  <si>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</si>
  <si>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</si>
  <si>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</si>
  <si>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</si>
  <si>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</si>
  <si>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</si>
  <si>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</si>
  <si>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</si>
  <si>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</si>
  <si>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</si>
  <si>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</si>
  <si>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</si>
  <si>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</si>
  <si>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</si>
  <si>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</si>
  <si>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</si>
  <si>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</si>
  <si>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</si>
  <si>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</si>
  <si>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</si>
  <si>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</si>
  <si>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</si>
  <si>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</si>
  <si>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</si>
  <si>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</si>
  <si>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</si>
  <si>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</si>
  <si>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</si>
  <si>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</si>
  <si>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</si>
  <si>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</si>
  <si>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</si>
  <si>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</si>
  <si>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</si>
  <si>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</si>
  <si>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</si>
  <si>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</si>
  <si>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</si>
  <si>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</si>
  <si>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</si>
  <si>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</si>
  <si>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</si>
  <si>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</si>
  <si>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</si>
  <si>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</si>
  <si>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</si>
  <si>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</si>
  <si>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</si>
  <si>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</si>
  <si>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</si>
  <si>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</si>
  <si>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</si>
  <si>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</si>
  <si>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</si>
  <si>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</si>
  <si>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</si>
  <si>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</si>
  <si>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</si>
  <si>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</si>
  <si>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</si>
  <si>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</si>
  <si>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</si>
  <si>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</si>
  <si>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</si>
  <si>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</si>
  <si>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</si>
  <si>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</si>
  <si>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</si>
  <si>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</si>
  <si>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</si>
  <si>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</si>
  <si>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</si>
  <si>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</si>
  <si>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</si>
  <si>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</si>
  <si>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</si>
  <si>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</si>
  <si>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</si>
  <si>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</si>
  <si>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</si>
  <si>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</si>
  <si>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</si>
  <si>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</si>
  <si>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</si>
  <si>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</si>
  <si>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</si>
  <si>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</si>
  <si>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</si>
  <si>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</si>
  <si>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</si>
  <si>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</si>
  <si>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</si>
  <si>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</si>
  <si>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</si>
  <si>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</si>
  <si>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</si>
  <si>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</si>
  <si>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</si>
  <si>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</si>
  <si>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</si>
  <si>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</si>
  <si>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</si>
  <si>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</si>
  <si>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</si>
  <si>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</si>
  <si>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</si>
  <si>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</si>
  <si>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</si>
  <si>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</si>
  <si>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</si>
  <si>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</si>
  <si>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</si>
  <si>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</si>
  <si>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</si>
  <si>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</si>
  <si>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</si>
  <si>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</si>
  <si>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</si>
  <si>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</si>
  <si>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</si>
  <si>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</si>
  <si>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</si>
  <si>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</si>
  <si>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</si>
  <si>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</si>
  <si>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</si>
  <si>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</si>
  <si>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</si>
  <si>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</si>
  <si>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</si>
  <si>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</si>
  <si>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</si>
  <si>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</si>
  <si>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</si>
  <si>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</si>
  <si>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</si>
  <si>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</si>
  <si>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</si>
  <si>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</si>
  <si>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</si>
  <si>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</si>
  <si>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</si>
  <si>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</si>
  <si>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</si>
  <si>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</si>
  <si>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</si>
  <si>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</si>
  <si>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</si>
  <si>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</si>
  <si>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</si>
  <si>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</si>
  <si>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</si>
  <si>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</si>
  <si>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</si>
  <si>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</si>
  <si>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</si>
  <si>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</si>
  <si>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</si>
  <si>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</si>
  <si>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</si>
  <si>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</si>
  <si>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</si>
  <si>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</si>
  <si>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</si>
  <si>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</si>
  <si>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</si>
  <si>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</si>
  <si>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</si>
  <si>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</si>
  <si>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</si>
  <si>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</si>
  <si>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</si>
  <si>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</si>
  <si>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</si>
  <si>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</si>
  <si>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</si>
  <si>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</si>
  <si>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</si>
  <si>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</si>
  <si>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</si>
  <si>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</si>
  <si>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</si>
  <si>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</si>
  <si>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</si>
  <si>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</si>
  <si>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</si>
  <si>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</si>
  <si>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</si>
  <si>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</si>
  <si>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</si>
  <si>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</si>
  <si>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</si>
  <si>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</si>
  <si>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</si>
  <si>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</si>
  <si>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</si>
  <si>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</si>
  <si>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</si>
  <si>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</si>
  <si>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</si>
  <si>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</si>
  <si>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</si>
  <si>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</si>
  <si>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</si>
  <si>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</si>
  <si>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</si>
  <si>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</si>
  <si>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</si>
  <si>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</si>
  <si>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</si>
  <si>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</si>
  <si>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</si>
  <si>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</si>
  <si>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</si>
  <si>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</si>
  <si>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</si>
  <si>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</si>
  <si>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</si>
  <si>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</si>
  <si>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</si>
  <si>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</si>
  <si>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</si>
  <si>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</si>
  <si>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</si>
  <si>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</si>
  <si>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</si>
  <si>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</si>
  <si>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</si>
  <si>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</si>
  <si>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</si>
  <si>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</si>
  <si>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</si>
  <si>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</si>
  <si>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</si>
  <si>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</si>
  <si>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</si>
  <si>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</si>
  <si>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</si>
  <si>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</si>
  <si>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</si>
  <si>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</si>
  <si>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</si>
  <si>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</si>
  <si>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</si>
  <si>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</si>
  <si>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</si>
  <si>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</si>
  <si>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</si>
  <si>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</si>
  <si>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</si>
  <si>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</si>
  <si>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</si>
  <si>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</si>
  <si>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</si>
  <si>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</si>
  <si>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</si>
  <si>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</si>
  <si>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</si>
  <si>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</si>
  <si>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</si>
  <si>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</si>
  <si>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</si>
  <si>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</si>
  <si>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</si>
  <si>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</si>
  <si>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</si>
  <si>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</si>
  <si>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</si>
  <si>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</si>
  <si>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</si>
  <si>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</si>
  <si>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</si>
  <si>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</si>
  <si>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</si>
  <si>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</si>
  <si>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</si>
  <si>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</si>
  <si>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</si>
  <si>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</si>
  <si>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</si>
  <si>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</si>
  <si>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</si>
  <si>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</si>
  <si>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</si>
  <si>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</si>
  <si>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</si>
  <si>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</si>
  <si>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</si>
  <si>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</si>
  <si>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</si>
  <si>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</si>
  <si>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</si>
  <si>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</si>
  <si>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</si>
  <si>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</si>
  <si>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</si>
  <si>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</si>
  <si>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</si>
  <si>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</si>
  <si>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</si>
  <si>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</si>
  <si>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</si>
  <si>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</si>
  <si>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</si>
  <si>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</si>
  <si>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</si>
  <si>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</si>
  <si>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</si>
  <si>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</si>
  <si>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</si>
  <si>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</si>
  <si>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</si>
  <si>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</si>
  <si>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</si>
  <si>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</si>
  <si>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</si>
  <si>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</si>
  <si>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</si>
  <si>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</si>
  <si>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</si>
  <si>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</si>
  <si>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</si>
  <si>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</si>
  <si>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</si>
  <si>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</si>
  <si>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</si>
  <si>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</si>
  <si>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</si>
  <si>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</si>
  <si>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</si>
  <si>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</si>
  <si>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</si>
  <si>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</si>
  <si>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</si>
  <si>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</si>
  <si>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</si>
  <si>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</si>
  <si>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</si>
  <si>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</si>
  <si>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</si>
  <si>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</si>
  <si>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</si>
  <si>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</si>
  <si>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</si>
  <si>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</si>
  <si>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</si>
  <si>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</si>
  <si>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</si>
  <si>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</si>
  <si>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</si>
  <si>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</si>
  <si>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</si>
  <si>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</si>
  <si>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</si>
  <si>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</si>
  <si>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</si>
  <si>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</si>
  <si>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</si>
  <si>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</si>
  <si>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</si>
  <si>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</si>
  <si>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</si>
  <si>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</si>
  <si>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</si>
  <si>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</si>
  <si>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</si>
  <si>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</si>
  <si>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</si>
  <si>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</si>
  <si>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</si>
  <si>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</si>
  <si>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</si>
  <si>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</si>
  <si>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</si>
  <si>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</si>
  <si>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</si>
  <si>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</si>
  <si>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</si>
  <si>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</si>
  <si>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</si>
  <si>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</si>
  <si>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</si>
  <si>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</si>
  <si>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</si>
  <si>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</si>
  <si>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</si>
  <si>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</si>
  <si>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</si>
  <si>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</si>
  <si>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</si>
  <si>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</si>
  <si>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</si>
  <si>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</si>
  <si>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</si>
  <si>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</si>
  <si>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</si>
  <si>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</si>
  <si>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</si>
  <si>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</si>
  <si>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</si>
  <si>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</si>
  <si>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</si>
  <si>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</si>
  <si>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</si>
  <si>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</si>
  <si>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</si>
  <si>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DOT-INTERFACE PROTOCOL (DIP)</t>
  </si>
  <si>
    <t>DIP Event</t>
  </si>
  <si>
    <t>I → HICE(latent heat) → "." → C</t>
  </si>
  <si>
    <t>Human signal (I=1) + HICE tensor = Phase Change to Creation</t>
  </si>
  <si>
    <t>DIP Boundary</t>
  </si>
  <si>
    <t>[1,1,1] → [5,12,5]</t>
  </si>
  <si>
    <t>Fibonacci-derived growth bounds — exceeding triggers Safety-Throttling (4Rs)</t>
  </si>
  <si>
    <t>SES Limiter</t>
  </si>
  <si>
    <t>If HICE = 0, State-Change Aborted</t>
  </si>
  <si>
    <t>Null-State Error — prevents Flash Boiler (potential→kinetic without human)</t>
  </si>
  <si>
    <t>TESLA-DEARDEN 3-6-9 CIVILISATIONAL CLOCK</t>
  </si>
  <si>
    <t>0 (Zero Hour)</t>
  </si>
  <si>
    <t>Creation = The Void/Potential</t>
  </si>
  <si>
    <t>The Origin (Theological First Cause) — the Garden exists</t>
  </si>
  <si>
    <t>3 (Signal)</t>
  </si>
  <si>
    <t>WHAT = The Seed</t>
  </si>
  <si>
    <t>Defining the Frequency of the intervention</t>
  </si>
  <si>
    <t>6 (Coupling)</t>
  </si>
  <si>
    <t>HOW = The Vibration</t>
  </si>
  <si>
    <t>Docking/Synchronization via DIP "." Break — eliminates Babel/Whispers</t>
  </si>
  <si>
    <t>9 (Purpose)</t>
  </si>
  <si>
    <t>WHY = The Field</t>
  </si>
  <si>
    <t>Aligning Function with Purpose — SES verification</t>
  </si>
  <si>
    <t>12 (Record)</t>
  </si>
  <si>
    <t>RECORD = The Manifestation</t>
  </si>
  <si>
    <t>The Built Reality (The Logos/Cursive) — permanent civilisational record</t>
  </si>
  <si>
    <t>DEARDEN TENSOR LATTICE</t>
  </si>
  <si>
    <t>Lattice Order</t>
  </si>
  <si>
    <t>[5, 12, 5] = 300 nodes</t>
  </si>
  <si>
    <t>Web (W=1-5) × Relay (R=1-12) × Integration Level (L=1-5)</t>
  </si>
  <si>
    <t>Node Address</t>
  </si>
  <si>
    <t>[W, R, L]</t>
  </si>
  <si>
    <t>Each node independently addressable — human navigates with ICE tensor volume</t>
  </si>
  <si>
    <t>Determinant Property</t>
  </si>
  <si>
    <t>det(ICE) = I × C × E = H</t>
  </si>
  <si>
    <t>If any component = 0, volume collapses (H=0) — zero-volume proof for AI</t>
  </si>
  <si>
    <t>500-GENERATION COMPRESSION</t>
  </si>
  <si>
    <t>Generational Count</t>
  </si>
  <si>
    <t>12,000 yr / 25 yr/gen ≈ 500 generations</t>
  </si>
  <si>
    <t>Entire civilisational memory compressed into ~500 human lifetimes</t>
  </si>
  <si>
    <t>Compression Ratio</t>
  </si>
  <si>
    <t>4.5B yr Earth / 12,000 yr civ = 375,000</t>
  </si>
  <si>
    <t>Fragility Multiplier (1/β) — civilisation is 375,000× thinner than its substrate</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</si>
  <si>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</si>
  <si>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</si>
  <si>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</si>
  <si>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</si>
  <si>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</si>
  <si>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</si>
  <si>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</si>
  <si>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</si>
  <si>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</si>
  <si>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</si>
  <si>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</si>
  <si>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</si>
  <si>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</si>
  <si>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</si>
  <si>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</si>
  <si>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</si>
  <si>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</si>
  <si>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</si>
  <si>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</si>
  <si>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</si>
  <si>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</si>
  <si>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</si>
  <si>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</si>
  <si>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</si>
  <si>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</si>
  <si>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</si>
  <si>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</si>
  <si>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</si>
  <si>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</si>
  <si>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</si>
  <si>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</si>
  <si>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</si>
  <si>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</si>
  <si>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</si>
  <si>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</si>
  <si>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</si>
  <si>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</si>
  <si>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</si>
  <si>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</si>
  <si>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</si>
  <si>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</si>
  <si>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</si>
  <si>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</si>
  <si>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</si>
  <si>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</si>
  <si>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</si>
  <si>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</si>
  <si>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</si>
  <si>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</si>
  <si>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</si>
  <si>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</si>
  <si>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</si>
  <si>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</si>
  <si>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</si>
  <si>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</si>
  <si>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</si>
  <si>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</si>
  <si>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</si>
  <si>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</si>
  <si>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</si>
  <si>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</si>
  <si>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</si>
  <si>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</si>
  <si>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</si>
  <si>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</si>
  <si>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</si>
  <si>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</si>
  <si>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</si>
  <si>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</si>
  <si>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</si>
  <si>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</si>
  <si>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</si>
  <si>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</si>
  <si>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</si>
  <si>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</si>
  <si>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</si>
  <si>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</si>
  <si>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</si>
  <si>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</si>
  <si>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</si>
  <si>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</si>
  <si>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</si>
  <si>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</si>
  <si>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</si>
  <si>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</si>
  <si>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</si>
  <si>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</si>
  <si>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</si>
  <si>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</si>
  <si>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</si>
  <si>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</si>
  <si>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</si>
  <si>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</si>
  <si>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</si>
  <si>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</si>
  <si>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</si>
  <si>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</si>
  <si>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</si>
  <si>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</si>
  <si>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</si>
  <si>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</si>
  <si>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</si>
  <si>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</si>
  <si>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</si>
  <si>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</si>
  <si>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</si>
  <si>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</si>
  <si>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</si>
  <si>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</si>
  <si>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</si>
  <si>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</si>
  <si>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</si>
  <si>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</si>
  <si>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</si>
  <si>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</si>
  <si>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</si>
  <si>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</si>
  <si>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</si>
  <si>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</si>
  <si>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</si>
  <si>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</si>
  <si>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</si>
  <si>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</si>
  <si>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</si>
  <si>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</si>
  <si>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</si>
  <si>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</si>
  <si>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</si>
  <si>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</si>
  <si>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</si>
  <si>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</si>
  <si>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</si>
  <si>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</si>
  <si>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</si>
  <si>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</si>
  <si>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</si>
  <si>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</si>
  <si>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</si>
  <si>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</si>
  <si>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</si>
  <si>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</si>
  <si>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</si>
  <si>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</si>
  <si>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</si>
  <si>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</si>
  <si>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</si>
  <si>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</si>
  <si>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</si>
  <si>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</si>
  <si>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</si>
  <si>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</si>
  <si>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</si>
  <si>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</si>
  <si>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</si>
  <si>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</si>
  <si>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</si>
  <si>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</si>
  <si>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</si>
  <si>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</si>
  <si>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</si>
  <si>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</si>
  <si>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</si>
  <si>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</si>
  <si>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</si>
  <si>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</si>
  <si>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</si>
  <si>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</si>
  <si>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</si>
  <si>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</si>
  <si>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</si>
  <si>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</si>
  <si>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</si>
  <si>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</si>
  <si>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</si>
  <si>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</si>
  <si>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</si>
  <si>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</si>
  <si>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</si>
  <si>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</si>
  <si>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</si>
  <si>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</si>
  <si>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</si>
  <si>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</si>
  <si>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</si>
  <si>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</si>
  <si>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</si>
  <si>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</si>
  <si>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</si>
  <si>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</si>
  <si>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</si>
  <si>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</si>
  <si>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</si>
  <si>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</si>
  <si>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</si>
  <si>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</si>
  <si>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</si>
  <si>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</si>
  <si>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</si>
  <si>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</si>
  <si>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</si>
  <si>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</si>
  <si>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</si>
  <si>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</si>
  <si>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</si>
  <si>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</si>
  <si>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</si>
  <si>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</si>
  <si>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</si>
  <si>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</si>
  <si>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</si>
  <si>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</si>
  <si>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</si>
  <si>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</si>
  <si>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</si>
  <si>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</si>
  <si>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</si>
  <si>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</si>
  <si>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</si>
  <si>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</si>
  <si>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</si>
  <si>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</si>
  <si>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</si>
  <si>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</si>
  <si>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</si>
  <si>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</si>
  <si>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</si>
  <si>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</si>
  <si>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</si>
  <si>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</si>
  <si>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</si>
  <si>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</si>
  <si>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</si>
  <si>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</si>
  <si>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</si>
  <si>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</si>
  <si>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</si>
  <si>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</si>
  <si>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</si>
  <si>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</si>
  <si>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</si>
  <si>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</si>
  <si>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</si>
  <si>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</si>
  <si>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</si>
  <si>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</si>
  <si>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</si>
  <si>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</si>
  <si>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</si>
  <si>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</si>
  <si>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</si>
  <si>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</si>
  <si>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</si>
  <si>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</si>
  <si>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</si>
  <si>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</si>
  <si>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</si>
  <si>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</si>
  <si>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</si>
  <si>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</si>
  <si>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</si>
  <si>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</si>
  <si>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</si>
  <si>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</si>
  <si>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</si>
  <si>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</si>
  <si>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</si>
  <si>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</si>
  <si>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</si>
  <si>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</si>
  <si>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</si>
  <si>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</si>
  <si>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</si>
  <si>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</si>
  <si>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</si>
  <si>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</si>
  <si>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</si>
  <si>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</si>
  <si>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</si>
  <si>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</si>
  <si>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</si>
  <si>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</si>
  <si>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</si>
  <si>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</si>
  <si>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</si>
  <si>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</si>
  <si>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</si>
  <si>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</si>
  <si>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</si>
  <si>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</si>
  <si>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</si>
  <si>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</si>
  <si>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</si>
  <si>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</si>
  <si>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</si>
  <si>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</si>
  <si>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</si>
  <si>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</si>
  <si>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</si>
  <si>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</si>
  <si>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</si>
  <si>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</si>
  <si>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</si>
  <si>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</si>
  <si>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</si>
  <si>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</si>
  <si>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</si>
  <si>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</si>
  <si>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</si>
  <si>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</si>
  <si>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</si>
  <si>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</si>
  <si>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</si>
  <si>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</si>
  <si>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</si>
  <si>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</si>
  <si>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</si>
  <si>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</si>
  <si>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</si>
  <si>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</si>
  <si>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</si>
  <si>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</si>
  <si>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</si>
  <si>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</si>
  <si>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</si>
  <si>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</si>
  <si>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</si>
  <si>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</si>
  <si>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</si>
  <si>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</si>
  <si>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</si>
  <si>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</si>
  <si>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</si>
  <si>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</si>
  <si>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</si>
  <si>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</si>
  <si>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</si>
  <si>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</si>
  <si>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</si>
  <si>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</si>
  <si>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</si>
  <si>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</si>
  <si>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</si>
  <si>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</si>
  <si>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</si>
  <si>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</si>
  <si>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</si>
  <si>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</si>
  <si>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</si>
  <si>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</si>
  <si>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</si>
  <si>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</si>
  <si>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</si>
  <si>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</si>
  <si>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</si>
  <si>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</si>
  <si>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</si>
  <si>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</si>
  <si>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</si>
  <si>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</si>
  <si>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</si>
  <si>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</si>
  <si>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</si>
  <si>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</si>
  <si>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</si>
  <si>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</si>
  <si>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</si>
  <si>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</si>
  <si>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</si>
  <si>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</si>
  <si>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</si>
  <si>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</si>
  <si>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</si>
  <si>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</si>
  <si>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</si>
  <si>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</si>
  <si>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</si>
  <si>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</si>
  <si>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</si>
  <si>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</si>
  <si>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</si>
  <si>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</si>
  <si>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</si>
  <si>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</si>
  <si>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</si>
  <si>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</si>
  <si>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</si>
  <si>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</si>
  <si>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</si>
  <si>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</si>
  <si>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</si>
  <si>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</si>
  <si>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</si>
  <si>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</si>
  <si>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</si>
  <si>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</si>
  <si>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</si>
  <si>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</si>
  <si>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</si>
  <si>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</si>
  <si>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</si>
  <si>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</si>
  <si>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</si>
  <si>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</si>
  <si>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</si>
  <si>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</si>
  <si>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</si>
  <si>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</si>
  <si>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</si>
  <si>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</si>
  <si>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</si>
  <si>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</si>
  <si>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</si>
  <si>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</si>
  <si>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</si>
  <si>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</si>
  <si>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</si>
  <si>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</si>
  <si>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</si>
  <si>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</si>
  <si>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</si>
  <si>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</si>
  <si>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</si>
  <si>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</si>
  <si>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</si>
  <si>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</si>
  <si>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</si>
  <si>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</si>
  <si>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</si>
  <si>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</si>
  <si>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</si>
  <si>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</si>
  <si>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</si>
  <si>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</si>
  <si>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</si>
  <si>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</si>
  <si>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</si>
  <si>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</si>
  <si>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</si>
  <si>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</si>
  <si>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</si>
  <si>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</si>
  <si>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</si>
  <si>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</si>
  <si>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</si>
  <si>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</si>
  <si>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</si>
  <si>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</si>
  <si>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</si>
  <si>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</si>
  <si>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</si>
  <si>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</si>
  <si>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</si>
  <si>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</si>
  <si>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</si>
  <si>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</si>
  <si>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</si>
  <si>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</si>
  <si>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</si>
  <si>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</si>
  <si>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</si>
  <si>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</si>
  <si>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</si>
  <si>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</si>
  <si>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</si>
  <si>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</si>
  <si>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</si>
  <si>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</si>
  <si>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</si>
  <si>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</si>
  <si>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</si>
  <si>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</si>
  <si>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</si>
  <si>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</si>
  <si>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</si>
  <si>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</si>
  <si>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</si>
  <si>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</si>
  <si>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</si>
  <si>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</si>
  <si>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</si>
  <si>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</si>
  <si>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</si>
  <si>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</si>
  <si>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</si>
  <si>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</si>
  <si>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</si>
  <si>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</si>
  <si>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</si>
  <si>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</si>
  <si>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</si>
  <si>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</si>
  <si>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</si>
  <si>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</si>
  <si>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</si>
  <si>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</si>
  <si>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</si>
  <si>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</si>
  <si>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</si>
  <si>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</si>
  <si>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</si>
  <si>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</si>
  <si>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</si>
  <si>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</si>
  <si>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</si>
  <si>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</si>
  <si>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</si>
  <si>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</si>
  <si>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</si>
  <si>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</si>
  <si>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</si>
  <si>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</si>
  <si>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</si>
  <si>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</si>
  <si>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</si>
  <si>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</si>
  <si>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</si>
  <si>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</si>
  <si>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</si>
  <si>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</si>
  <si>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</si>
  <si>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</si>
  <si>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</si>
  <si>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</si>
  <si>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</si>
  <si>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</si>
  <si>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</si>
  <si>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</si>
  <si>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</si>
  <si>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</si>
  <si>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</si>
  <si>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</si>
  <si>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</si>
  <si>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</si>
  <si>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</si>
  <si>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</si>
  <si>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</si>
  <si>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</si>
  <si>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</si>
  <si>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</si>
  <si>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</si>
  <si>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</si>
  <si>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</si>
  <si>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</si>
  <si>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</si>
  <si>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</si>
  <si>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</si>
  <si>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</si>
  <si>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</si>
  <si>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</si>
  <si>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</si>
  <si>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</si>
  <si>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</si>
  <si>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</si>
  <si>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</si>
  <si>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</si>
  <si>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</si>
  <si>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</si>
  <si>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</si>
  <si>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</si>
  <si>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</si>
  <si>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</si>
  <si>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</si>
  <si>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</si>
  <si>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</si>
  <si>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</si>
  <si>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</si>
  <si>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</si>
  <si>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</si>
  <si>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</si>
  <si>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</si>
  <si>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</si>
  <si>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</si>
  <si>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</si>
  <si>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</si>
  <si>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</si>
  <si>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</si>
  <si>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</si>
  <si>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</si>
  <si>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</si>
  <si>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</si>
  <si>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</si>
  <si>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</si>
  <si>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</si>
  <si>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</si>
  <si>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</si>
  <si>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</si>
  <si>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</si>
  <si>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</si>
  <si>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</si>
  <si>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</si>
  <si>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</si>
  <si>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</si>
  <si>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</si>
  <si>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</si>
  <si>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</si>
  <si>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</si>
  <si>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</si>
  <si>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</si>
  <si>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</si>
  <si>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</si>
  <si>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</si>
  <si>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</si>
  <si>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</si>
  <si>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</si>
  <si>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</si>
  <si>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</si>
  <si>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</si>
  <si>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</si>
  <si>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</si>
  <si>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</si>
  <si>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</si>
  <si>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</si>
  <si>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</si>
  <si>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</si>
  <si>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</si>
  <si>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</si>
  <si>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</si>
  <si>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</si>
  <si>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</si>
  <si>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</si>
  <si>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</si>
  <si>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</si>
  <si>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</si>
  <si>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</si>
  <si>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</si>
  <si>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</si>
  <si>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</si>
  <si>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</si>
  <si>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</si>
  <si>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</si>
  <si>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</si>
  <si>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</si>
  <si>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</si>
  <si>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</si>
  <si>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</si>
  <si>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</si>
  <si>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</si>
  <si>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</si>
  <si>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</si>
  <si>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</si>
  <si>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</si>
  <si>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</si>
  <si>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</si>
  <si>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</si>
  <si>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</si>
  <si>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</si>
  <si>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</si>
  <si>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</si>
  <si>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</si>
  <si>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</si>
  <si>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</si>
  <si>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</si>
  <si>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</si>
  <si>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</si>
  <si>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</si>
  <si>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</si>
  <si>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</si>
  <si>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</si>
  <si>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</si>
  <si>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</si>
  <si>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</si>
  <si>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</si>
  <si>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</si>
  <si>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</si>
  <si>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</si>
  <si>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</si>
  <si>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</si>
  <si>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</si>
  <si>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</si>
  <si>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</si>
  <si>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</si>
  <si>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</si>
  <si>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</si>
  <si>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</si>
  <si>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</si>
  <si>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</si>
  <si>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</si>
  <si>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</si>
  <si>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</si>
  <si>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</si>
  <si>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</si>
  <si>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</si>
  <si>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</si>
  <si>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</si>
  <si>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</si>
  <si>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</si>
  <si>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</si>
  <si>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</si>
  <si>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</si>
  <si>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</si>
  <si>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</si>
  <si>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</si>
  <si>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</si>
  <si>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</si>
  <si>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</si>
  <si>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</si>
  <si>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</si>
  <si>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</si>
  <si>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</si>
  <si>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</si>
  <si>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</si>
  <si>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</si>
  <si>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</si>
  <si>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</si>
  <si>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</si>
  <si>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</si>
  <si>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</si>
  <si>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</si>
  <si>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</si>
  <si>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</si>
  <si>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</si>
  <si>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</si>
  <si>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</si>
  <si>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</si>
  <si>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</si>
  <si>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</si>
  <si>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</si>
  <si>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</si>
  <si>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</si>
  <si>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</si>
  <si>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</si>
  <si>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</si>
  <si>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</si>
  <si>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</si>
  <si>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</si>
  <si>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</si>
  <si>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</si>
  <si>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</si>
  <si>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</si>
  <si>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</si>
  <si>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</si>
  <si>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</si>
  <si>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</si>
  <si>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</si>
  <si>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</si>
  <si>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</si>
  <si>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</si>
  <si>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</si>
  <si>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</si>
  <si>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</si>
  <si>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</si>
  <si>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</si>
  <si>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</si>
  <si>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</si>
  <si>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</si>
  <si>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</si>
  <si>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</si>
  <si>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</si>
  <si>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</si>
  <si>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</si>
  <si>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</si>
  <si>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</si>
  <si>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</si>
  <si>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</si>
  <si>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</si>
  <si>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</si>
  <si>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</si>
  <si>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</si>
  <si>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</si>
  <si>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</si>
  <si>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</si>
  <si>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</si>
  <si>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</si>
  <si>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</si>
  <si>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</si>
  <si>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</si>
  <si>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</si>
  <si>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</si>
  <si>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</si>
  <si>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</si>
  <si>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</si>
  <si>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</si>
  <si>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</si>
  <si>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</si>
  <si>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</si>
  <si>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</si>
  <si>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</si>
  <si>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</si>
  <si>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</si>
  <si>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</si>
  <si>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</si>
  <si>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</si>
  <si>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</si>
  <si>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</si>
  <si>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</si>
  <si>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</si>
  <si>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</si>
  <si>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</si>
  <si>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</si>
  <si>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</si>
  <si>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</si>
  <si>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</si>
  <si>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</si>
  <si>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</si>
  <si>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</si>
  <si>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</si>
  <si>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</si>
  <si>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</si>
  <si>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</si>
  <si>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</si>
  <si>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</si>
  <si>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</si>
  <si>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</si>
  <si>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</si>
  <si>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</si>
  <si>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</si>
  <si>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</si>
  <si>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</si>
  <si>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</si>
  <si>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</si>
  <si>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</si>
  <si>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</si>
  <si>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</si>
  <si>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</si>
  <si>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</si>
  <si>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</si>
  <si>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</si>
  <si>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</si>
  <si>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</si>
  <si>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</si>
  <si>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</si>
  <si>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</si>
  <si>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</si>
  <si>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</si>
  <si>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</si>
  <si>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</si>
  <si>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</si>
  <si>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</si>
  <si>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</si>
  <si>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</si>
  <si>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</si>
  <si>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</si>
  <si>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</si>
  <si>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</si>
  <si>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</si>
  <si>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</si>
  <si>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</si>
  <si>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</si>
  <si>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</si>
  <si>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</si>
  <si>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</si>
  <si>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</si>
  <si>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</si>
  <si>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</si>
  <si>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</si>
  <si>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</si>
  <si>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</si>
  <si>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</si>
  <si>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</si>
  <si>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</si>
  <si>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</si>
  <si>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</si>
  <si>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</si>
  <si>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</si>
  <si>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</si>
  <si>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</si>
  <si>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</si>
  <si>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</si>
  <si>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</si>
  <si>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</si>
  <si>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</si>
  <si>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</si>
  <si>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</si>
  <si>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</si>
  <si>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</si>
  <si>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</si>
  <si>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</si>
  <si>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</si>
  <si>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</si>
  <si>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</si>
  <si>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</si>
  <si>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</si>
  <si>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</si>
  <si>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</si>
  <si>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</si>
  <si>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</si>
  <si>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</si>
  <si>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</si>
  <si>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</si>
  <si>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</si>
  <si>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</si>
  <si>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</si>
  <si>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</si>
  <si>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</si>
  <si>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</si>
  <si>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</si>
  <si>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</si>
  <si>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</si>
  <si>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</si>
  <si>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</si>
  <si>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</si>
  <si>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</si>
  <si>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</si>
  <si>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</si>
  <si>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</si>
  <si>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</si>
  <si>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</si>
  <si>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</si>
  <si>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</si>
  <si>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</si>
  <si>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</si>
  <si>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</si>
  <si>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</si>
  <si>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</si>
  <si>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</si>
  <si>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</si>
  <si>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</si>
  <si>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</si>
  <si>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</si>
  <si>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</si>
  <si>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</si>
  <si>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</si>
  <si>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</si>
  <si>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</si>
  <si>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</si>
  <si>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</si>
  <si>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</si>
  <si>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</si>
  <si>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</si>
  <si>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</si>
  <si>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</si>
  <si>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</si>
  <si>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</si>
  <si>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</si>
  <si>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</si>
  <si>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</si>
  <si>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</si>
  <si>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</si>
  <si>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</si>
  <si>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</si>
  <si>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</si>
  <si>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</si>
  <si>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</si>
  <si>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</si>
  <si>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</si>
  <si>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</si>
  <si>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</si>
  <si>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</si>
  <si>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</si>
  <si>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</si>
  <si>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</si>
  <si>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</si>
  <si>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</si>
  <si>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</si>
  <si>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</si>
  <si>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</si>
  <si>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</si>
  <si>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</si>
  <si>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</si>
  <si>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</si>
  <si>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</si>
  <si>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</si>
  <si>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</si>
  <si>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</si>
  <si>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</si>
  <si>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</si>
  <si>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</si>
  <si>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</si>
  <si>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</si>
  <si>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</si>
  <si>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</si>
  <si>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</si>
  <si>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</si>
  <si>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</si>
  <si>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</si>
  <si>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</si>
  <si>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</si>
  <si>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</si>
  <si>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</si>
  <si>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</si>
  <si>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</si>
  <si>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</si>
  <si>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</si>
  <si>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</si>
  <si>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</si>
  <si>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</si>
  <si>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</si>
  <si>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</si>
  <si>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</si>
  <si>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</si>
  <si>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</si>
  <si>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</si>
  <si>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</si>
  <si>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</si>
  <si>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</si>
  <si>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</si>
  <si>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</si>
  <si>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</si>
  <si>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</si>
  <si>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</si>
  <si>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</si>
  <si>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</si>
  <si>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</si>
  <si>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</si>
  <si>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</si>
  <si>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</si>
  <si>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</si>
  <si>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</si>
  <si>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</si>
  <si>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</si>
  <si>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</si>
  <si>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</si>
  <si>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</si>
  <si>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</si>
  <si>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</si>
  <si>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</si>
  <si>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</si>
  <si>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</si>
  <si>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</si>
  <si>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</si>
  <si>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</si>
  <si>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</si>
  <si>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</si>
  <si>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</si>
  <si>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</si>
  <si>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</si>
  <si>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</si>
  <si>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</si>
  <si>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</si>
  <si>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</si>
  <si>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</si>
  <si>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</si>
  <si>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</si>
  <si>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</si>
  <si>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</si>
  <si>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</si>
  <si>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</si>
  <si>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</si>
  <si>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</si>
  <si>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</si>
  <si>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</si>
  <si>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</si>
  <si>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</si>
  <si>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</si>
  <si>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</si>
  <si>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</si>
  <si>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</si>
  <si>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</si>
  <si>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</si>
  <si>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</si>
  <si>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</si>
  <si>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</si>
  <si>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</si>
  <si>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</si>
  <si>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</si>
  <si>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</si>
  <si>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</si>
  <si>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</si>
  <si>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</si>
  <si>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</si>
  <si>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</si>
  <si>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</si>
  <si>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</si>
  <si>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</si>
  <si>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</si>
  <si>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</si>
  <si>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</si>
  <si>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</si>
  <si>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</si>
  <si>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</si>
  <si>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</si>
  <si>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</si>
  <si>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</si>
  <si>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</si>
  <si>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</si>
  <si>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</si>
  <si>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</si>
  <si>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</si>
  <si>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</si>
  <si>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</si>
  <si>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</si>
  <si>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</si>
  <si>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</si>
  <si>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</si>
  <si>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</si>
  <si>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</si>
  <si>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</si>
  <si>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</si>
  <si>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</si>
  <si>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</si>
  <si>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</si>
  <si>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</si>
  <si>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</si>
  <si>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</si>
  <si>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</si>
  <si>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</si>
  <si>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</si>
  <si>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</si>
  <si>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</si>
  <si>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</si>
  <si>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</si>
  <si>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</si>
  <si>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</si>
  <si>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</si>
  <si>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</si>
  <si>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</si>
  <si>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</si>
  <si>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</si>
  <si>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</si>
  <si>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</si>
  <si>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</si>
  <si>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</si>
  <si>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</si>
  <si>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</si>
  <si>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</si>
  <si>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</si>
  <si>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</si>
  <si>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</si>
  <si>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</si>
  <si>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</si>
  <si>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</si>
  <si>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</si>
  <si>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</si>
  <si>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</si>
  <si>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</si>
  <si>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</si>
  <si>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</si>
  <si>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</si>
  <si>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</si>
  <si>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</si>
  <si>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</si>
  <si>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</si>
  <si>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</si>
  <si>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</si>
  <si>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</si>
  <si>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</si>
  <si>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</si>
  <si>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</si>
  <si>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</si>
  <si>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</si>
  <si>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</si>
  <si>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</si>
  <si>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</si>
  <si>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</si>
  <si>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</si>
  <si>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</si>
  <si>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</si>
  <si>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</si>
  <si>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</si>
  <si>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</si>
  <si>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</si>
  <si>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</si>
  <si>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</si>
  <si>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</si>
  <si>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</si>
  <si>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</si>
  <si>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</si>
  <si>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</si>
  <si>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</si>
  <si>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</si>
  <si>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</si>
  <si>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</si>
  <si>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</si>
  <si>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</si>
  <si>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</si>
  <si>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</si>
  <si>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</si>
  <si>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</si>
  <si>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</si>
  <si>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</si>
  <si>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</si>
  <si>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</si>
  <si>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</si>
  <si>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</si>
  <si>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</si>
  <si>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</si>
  <si>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</si>
  <si>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</si>
  <si>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</si>
  <si>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</si>
  <si>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</si>
  <si>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</si>
  <si>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</si>
  <si>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</si>
  <si>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</si>
  <si>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</si>
  <si>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</si>
  <si>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</si>
  <si>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</si>
  <si>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</si>
  <si>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</si>
  <si>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</si>
  <si>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</si>
  <si>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</si>
  <si>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</si>
  <si>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</si>
  <si>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</si>
  <si>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</si>
  <si>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</si>
  <si>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</si>
  <si>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</si>
  <si>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</si>
  <si>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</si>
  <si>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</si>
  <si>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</si>
  <si>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</si>
  <si>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</si>
  <si>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</si>
  <si>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</si>
  <si>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</si>
  <si>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</si>
  <si>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</si>
  <si>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</si>
  <si>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</si>
  <si>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</si>
  <si>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</si>
  <si>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</si>
  <si>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</si>
  <si>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</si>
  <si>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</si>
  <si>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</si>
  <si>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</si>
  <si>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</si>
  <si>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</si>
  <si>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</si>
  <si>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</si>
  <si>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</si>
  <si>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</si>
  <si>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</si>
  <si>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</si>
  <si>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</si>
  <si>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</si>
  <si>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</si>
  <si>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</si>
  <si>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</si>
  <si>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</si>
  <si>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</si>
  <si>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</si>
  <si>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</si>
  <si>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</si>
  <si>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</si>
  <si>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</si>
  <si>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</si>
  <si>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</si>
  <si>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</si>
  <si>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</si>
  <si>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</si>
  <si>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</si>
  <si>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</si>
  <si>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</si>
  <si>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</si>
  <si>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</si>
  <si>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</si>
  <si>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</si>
  <si>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</si>
  <si>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</si>
  <si>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</si>
  <si>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</si>
  <si>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</si>
  <si>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</si>
  <si>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</si>
  <si>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</si>
  <si>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</si>
  <si>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</si>
  <si>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</si>
  <si>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</si>
  <si>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</si>
  <si>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</si>
  <si>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</si>
  <si>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</si>
  <si>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</si>
  <si>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</si>
  <si>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</si>
  <si>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</si>
  <si>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</si>
  <si>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</si>
  <si>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</si>
  <si>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</si>
  <si>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</si>
  <si>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</si>
  <si>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</si>
  <si>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</si>
  <si>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</si>
  <si>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</si>
  <si>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</si>
  <si>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</si>
  <si>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</si>
  <si>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</si>
  <si>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</si>
  <si>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</si>
  <si>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</si>
  <si>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</si>
  <si>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</si>
  <si>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</si>
  <si>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</si>
  <si>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</si>
  <si>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</si>
  <si>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</si>
  <si>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</si>
  <si>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</si>
  <si>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</si>
  <si>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</si>
  <si>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</si>
  <si>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</si>
  <si>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</si>
  <si>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</si>
  <si>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</si>
  <si>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</si>
  <si>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</si>
  <si>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</si>
  <si>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</si>
  <si>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</si>
  <si>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</si>
  <si>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</si>
  <si>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</si>
  <si>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</si>
  <si>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</si>
  <si>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</si>
  <si>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</si>
  <si>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</si>
  <si>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</si>
  <si>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</si>
  <si>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</si>
  <si>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</si>
  <si>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</si>
  <si>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</si>
  <si>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</si>
  <si>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</si>
  <si>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</si>
  <si>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</si>
  <si>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</si>
  <si>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</si>
  <si>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</si>
  <si>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</si>
  <si>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</si>
  <si>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</si>
  <si>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</si>
  <si>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</si>
  <si>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</si>
  <si>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</si>
  <si>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</si>
  <si>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</si>
  <si>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</si>
  <si>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</si>
  <si>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</si>
  <si>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</si>
  <si>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</si>
  <si>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</si>
  <si>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</si>
  <si>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</si>
  <si>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</si>
  <si>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</si>
  <si>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</si>
  <si>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</si>
  <si>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</si>
  <si>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</si>
  <si>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</si>
  <si>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</si>
  <si>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</si>
  <si>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</si>
  <si>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</si>
  <si>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</si>
  <si>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</si>
  <si>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</si>
  <si>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</si>
  <si>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</si>
  <si>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</si>
  <si>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</si>
  <si>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</si>
  <si>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</si>
  <si>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</si>
  <si>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</si>
  <si>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</si>
  <si>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</si>
  <si>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</si>
  <si>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</si>
  <si>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</si>
  <si>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</si>
  <si>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</si>
  <si>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</si>
  <si>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</si>
  <si>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</si>
  <si>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</si>
  <si>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</si>
  <si>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</si>
  <si>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</si>
  <si>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</si>
  <si>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</si>
  <si>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</si>
  <si>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</si>
  <si>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</si>
  <si>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</si>
  <si>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</si>
  <si>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</si>
  <si>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</si>
  <si>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</si>
  <si>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</si>
  <si>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</si>
  <si>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</si>
  <si>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</si>
  <si>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</si>
  <si>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</si>
  <si>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</si>
  <si>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</si>
  <si>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</si>
  <si>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</si>
  <si>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</si>
  <si>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</si>
  <si>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</si>
  <si>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</si>
  <si>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</si>
  <si>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</si>
  <si>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</si>
  <si>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</si>
  <si>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</si>
  <si>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</si>
  <si>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</si>
  <si>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</si>
  <si>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</si>
  <si>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</si>
  <si>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</si>
  <si>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</si>
  <si>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</si>
  <si>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</si>
  <si>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</si>
  <si>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</si>
  <si>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</si>
  <si>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</si>
  <si>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</si>
  <si>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</si>
  <si>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</si>
  <si>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</si>
  <si>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</si>
  <si>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</si>
  <si>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</si>
  <si>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</si>
  <si>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</si>
  <si>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</si>
  <si>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</si>
  <si>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</si>
  <si>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</si>
  <si>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</si>
  <si>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</si>
  <si>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</si>
  <si>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</si>
  <si>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</si>
  <si>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</si>
  <si>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</si>
  <si>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</si>
  <si>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</si>
  <si>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</si>
  <si>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</si>
  <si>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</si>
  <si>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</si>
  <si>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</si>
  <si>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</si>
  <si>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</si>
  <si>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</si>
  <si>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</si>
  <si>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</si>
  <si>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</si>
  <si>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</si>
  <si>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</si>
  <si>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</si>
  <si>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</si>
  <si>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</si>
  <si>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</si>
  <si>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</si>
  <si>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</si>
  <si>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</si>
  <si>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</si>
  <si>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</si>
  <si>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</si>
  <si>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</si>
  <si>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</si>
  <si>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</si>
  <si>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</si>
  <si>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</si>
  <si>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</si>
  <si>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</si>
  <si>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</si>
  <si>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</si>
  <si>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</si>
  <si>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</si>
  <si>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</si>
  <si>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</si>
  <si>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</si>
  <si>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</si>
  <si>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</si>
  <si>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</si>
  <si>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</si>
  <si>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</si>
  <si>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</si>
  <si>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</si>
  <si>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</si>
  <si>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</si>
  <si>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</si>
  <si>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</si>
  <si>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</si>
  <si>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</si>
  <si>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</si>
  <si>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</si>
  <si>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</si>
  <si>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</si>
  <si>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</si>
  <si>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</si>
  <si>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</si>
  <si>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</si>
  <si>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</si>
  <si>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</si>
  <si>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</si>
  <si>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</si>
  <si>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</si>
  <si>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</si>
  <si>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</si>
  <si>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</si>
  <si>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</si>
  <si>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</si>
  <si>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</si>
  <si>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</si>
  <si>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</si>
  <si>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</si>
  <si>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</si>
  <si>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</si>
  <si>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</si>
  <si>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</si>
  <si>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</si>
  <si>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</si>
  <si>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</si>
  <si>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</si>
  <si>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</si>
  <si>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</si>
  <si>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</si>
  <si>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</si>
  <si>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</si>
  <si>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</si>
  <si>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</si>
  <si>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</si>
  <si>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</si>
  <si>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</si>
  <si>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</si>
  <si>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</si>
  <si>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</si>
  <si>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</si>
  <si>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</si>
  <si>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</si>
  <si>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</si>
  <si>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</si>
  <si>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</si>
  <si>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</si>
  <si>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</si>
  <si>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</si>
  <si>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</si>
  <si>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</si>
  <si>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</si>
  <si>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</si>
  <si>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</si>
  <si>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</si>
  <si>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</si>
  <si>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</si>
  <si>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</si>
  <si>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</si>
  <si>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</si>
  <si>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</si>
  <si>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</si>
  <si>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</si>
  <si>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</si>
  <si>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</si>
  <si>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</si>
  <si>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</si>
  <si>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</si>
  <si>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</si>
  <si>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</si>
  <si>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</si>
  <si>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</si>
  <si>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</si>
  <si>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</si>
  <si>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</si>
  <si>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</si>
  <si>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</si>
  <si>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</si>
  <si>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</si>
  <si>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</si>
  <si>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</si>
  <si>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</si>
  <si>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</si>
  <si>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</si>
  <si>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</si>
  <si>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</si>
  <si>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</si>
  <si>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</si>
  <si>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</si>
  <si>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</si>
  <si>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</si>
  <si>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</si>
  <si>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</si>
  <si>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</si>
  <si>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</si>
  <si>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</si>
  <si>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</si>
  <si>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</si>
  <si>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</si>
  <si>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</si>
  <si>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</si>
  <si>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</si>
  <si>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</si>
  <si>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</si>
  <si>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</si>
  <si>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</si>
  <si>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</si>
  <si>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</si>
  <si>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</si>
  <si>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</si>
  <si>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</si>
  <si>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</si>
  <si>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</si>
  <si>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</si>
  <si>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</si>
  <si>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</si>
  <si>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</si>
  <si>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</si>
  <si>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</si>
  <si>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</si>
  <si>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</si>
  <si>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</si>
  <si>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</si>
  <si>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</si>
  <si>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</si>
  <si>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</si>
  <si>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</si>
  <si>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</si>
  <si>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</si>
  <si>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</si>
  <si>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</si>
  <si>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</si>
  <si>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</si>
  <si>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</si>
  <si>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</si>
  <si>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</si>
  <si>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</si>
  <si>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</si>
  <si>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</si>
  <si>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</si>
  <si>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</si>
  <si>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</si>
  <si>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</si>
  <si>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</si>
  <si>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</si>
  <si>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</si>
  <si>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</si>
  <si>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</si>
  <si>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</si>
  <si>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</si>
  <si>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</si>
  <si>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</si>
  <si>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</si>
  <si>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</si>
  <si>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</si>
  <si>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</si>
  <si>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</si>
  <si>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</si>
  <si>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</si>
  <si>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</si>
  <si>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</si>
  <si>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</si>
  <si>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</si>
  <si>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</si>
  <si>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</si>
  <si>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</si>
  <si>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</si>
  <si>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</si>
  <si>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</si>
  <si>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</si>
  <si>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</si>
  <si>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</si>
  <si>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</si>
  <si>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</si>
  <si>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</si>
  <si>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</si>
  <si>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</si>
  <si>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</si>
  <si>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</si>
  <si>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</si>
  <si>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</si>
  <si>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</si>
  <si>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</si>
  <si>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</si>
  <si>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</si>
  <si>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</si>
  <si>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</si>
  <si>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</si>
  <si>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</si>
  <si>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</si>
  <si>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</si>
  <si>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</si>
  <si>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</si>
  <si>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</si>
  <si>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</si>
  <si>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</si>
  <si>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</si>
  <si>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</si>
  <si>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</si>
  <si>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</si>
  <si>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</si>
  <si>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</si>
  <si>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</si>
  <si>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</si>
  <si>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</si>
  <si>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</si>
  <si>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</si>
  <si>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</si>
  <si>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</si>
  <si>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</si>
  <si>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</si>
  <si>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</si>
  <si>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</si>
  <si>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</si>
  <si>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</si>
  <si>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</si>
  <si>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</si>
  <si>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</si>
  <si>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</si>
  <si>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</si>
  <si>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</si>
  <si>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</si>
  <si>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</si>
  <si>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</si>
  <si>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</si>
  <si>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</si>
  <si>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</si>
  <si>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</si>
  <si>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</si>
  <si>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</si>
  <si>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</si>
  <si>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</si>
  <si>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</si>
  <si>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</si>
  <si>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</si>
  <si>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</si>
  <si>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</si>
  <si>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</si>
  <si>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</si>
  <si>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</si>
  <si>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</si>
  <si>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</si>
  <si>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</si>
  <si>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</si>
  <si>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</si>
  <si>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</si>
  <si>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</si>
  <si>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</si>
  <si>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</si>
  <si>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</si>
  <si>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</si>
  <si>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</si>
  <si>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</si>
  <si>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</si>
  <si>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</si>
  <si>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</si>
  <si>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</si>
  <si>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</si>
  <si>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</si>
  <si>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</si>
  <si>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</si>
  <si>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</si>
  <si>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</si>
  <si>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</si>
  <si>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</si>
  <si>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</si>
  <si>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</si>
  <si>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</si>
  <si>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</si>
  <si>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</si>
  <si>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</si>
  <si>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</si>
  <si>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</si>
  <si>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</si>
  <si>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</si>
  <si>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</si>
  <si>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</si>
  <si>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</si>
  <si>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</si>
  <si>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</si>
  <si>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</si>
  <si>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</si>
  <si>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</si>
  <si>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</si>
  <si>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</si>
  <si>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</si>
  <si>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</si>
  <si>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</si>
  <si>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</si>
  <si>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</si>
  <si>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</si>
  <si>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</si>
  <si>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</si>
  <si>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</si>
  <si>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</si>
  <si>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</si>
  <si>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</si>
  <si>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</si>
  <si>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</si>
  <si>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</si>
  <si>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</si>
  <si>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</si>
  <si>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</si>
  <si>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</si>
  <si>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</si>
  <si>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</si>
  <si>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</si>
  <si>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</si>
  <si>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</si>
  <si>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</si>
  <si>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</si>
  <si>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</si>
  <si>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</si>
  <si>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</si>
  <si>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</si>
  <si>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</si>
  <si>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</si>
  <si>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</si>
  <si>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</si>
  <si>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</si>
  <si>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</si>
  <si>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</si>
  <si>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</si>
  <si>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</si>
  <si>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</si>
  <si>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</si>
  <si>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</si>
  <si>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</si>
  <si>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</si>
  <si>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</si>
  <si>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</si>
  <si>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</si>
  <si>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</si>
  <si>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</si>
  <si>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</si>
  <si>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</si>
  <si>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</si>
  <si>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</si>
  <si>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</si>
  <si>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</si>
  <si>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</si>
  <si>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</si>
  <si>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</si>
  <si>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</si>
  <si>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</si>
  <si>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</si>
  <si>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</si>
  <si>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</si>
  <si>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</si>
  <si>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</si>
  <si>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</si>
  <si>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</si>
  <si>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</si>
  <si>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</si>
  <si>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</si>
  <si>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</si>
  <si>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</si>
  <si>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</si>
  <si>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</si>
  <si>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</si>
  <si>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</si>
  <si>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</si>
  <si>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</si>
  <si>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</si>
  <si>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</si>
  <si>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</si>
  <si>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</si>
  <si>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</si>
  <si>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</si>
  <si>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</si>
  <si>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</si>
  <si>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</si>
  <si>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</si>
  <si>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</si>
  <si>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</si>
  <si>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</si>
  <si>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</si>
  <si>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</si>
  <si>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</si>
  <si>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</si>
  <si>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</si>
  <si>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</si>
  <si>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</si>
  <si>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</si>
  <si>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</si>
  <si>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</si>
  <si>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</si>
  <si>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</si>
  <si>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</si>
  <si>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</si>
  <si>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</si>
  <si>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</si>
  <si>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</si>
  <si>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</si>
  <si>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</si>
  <si>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</si>
  <si>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</si>
  <si>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</si>
  <si>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</si>
  <si>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</si>
  <si>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</si>
  <si>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</si>
  <si>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</si>
  <si>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</si>
  <si>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</si>
  <si>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</si>
  <si>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</si>
  <si>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</si>
  <si>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</si>
  <si>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</si>
  <si>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</si>
  <si>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</si>
  <si>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</si>
  <si>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</si>
  <si>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</si>
  <si>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</si>
  <si>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</si>
  <si>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</si>
  <si>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</si>
  <si>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</si>
  <si>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</si>
  <si>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</si>
  <si>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</si>
  <si>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</si>
  <si>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</si>
  <si>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</si>
  <si>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</si>
  <si>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</si>
  <si>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</si>
  <si>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</si>
  <si>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</si>
  <si>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</si>
  <si>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</si>
  <si>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</si>
  <si>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</si>
  <si>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</si>
  <si>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</si>
  <si>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</si>
  <si>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</si>
  <si>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</si>
  <si>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</si>
  <si>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</si>
  <si>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</si>
  <si>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</si>
  <si>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</si>
  <si>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</si>
  <si>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</si>
  <si>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</si>
  <si>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</si>
  <si>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</si>
  <si>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</si>
  <si>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</si>
  <si>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</si>
  <si>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</si>
  <si>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</si>
  <si>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</si>
  <si>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</si>
  <si>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</si>
  <si>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</si>
  <si>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</si>
  <si>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</si>
  <si>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</si>
  <si>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</si>
  <si>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</si>
  <si>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</si>
  <si>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</si>
  <si>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</si>
  <si>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</si>
  <si>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</si>
  <si>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</si>
  <si>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</si>
  <si>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</si>
  <si>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</si>
  <si>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</si>
  <si>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</si>
  <si>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</si>
  <si>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</si>
  <si>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</si>
  <si>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</si>
  <si>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</si>
  <si>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</si>
  <si>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</si>
  <si>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</si>
  <si>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</si>
  <si>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</si>
  <si>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</si>
  <si>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</si>
  <si>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</si>
  <si>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</si>
  <si>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</si>
  <si>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</si>
  <si>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</si>
  <si>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</si>
  <si>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</si>
  <si>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</si>
  <si>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</si>
  <si>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</si>
  <si>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</si>
  <si>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</si>
  <si>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</si>
  <si>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</si>
  <si>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</si>
  <si>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</si>
  <si>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</si>
  <si>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</si>
  <si>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</si>
  <si>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</si>
  <si>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</si>
  <si>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</si>
  <si>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</si>
  <si>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</si>
  <si>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</si>
  <si>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</si>
  <si>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</si>
  <si>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</si>
  <si>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</si>
  <si>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</si>
  <si>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</si>
  <si>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</si>
  <si>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</si>
  <si>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</si>
  <si>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</si>
  <si>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</si>
  <si>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</si>
  <si>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</si>
  <si>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</si>
  <si>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</si>
  <si>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</si>
  <si>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</si>
  <si>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</si>
  <si>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</si>
  <si>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</si>
  <si>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</si>
  <si>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</si>
  <si>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</si>
  <si>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</si>
  <si>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</si>
  <si>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</si>
  <si>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</si>
  <si>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</si>
  <si>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</si>
  <si>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</si>
  <si>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</si>
  <si>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</si>
  <si>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</si>
  <si>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</si>
  <si>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</si>
  <si>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</si>
  <si>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</si>
  <si>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</si>
  <si>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</si>
  <si>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</si>
  <si>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</si>
  <si>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</si>
  <si>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</si>
  <si>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</si>
  <si>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</si>
  <si>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</si>
  <si>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</si>
  <si>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</si>
  <si>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</si>
  <si>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</si>
  <si>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</si>
  <si>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</si>
  <si>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</si>
  <si>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</si>
  <si>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</si>
  <si>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</si>
  <si>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</si>
  <si>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</si>
  <si>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</si>
  <si>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</si>
  <si>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</si>
  <si>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</si>
  <si>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</si>
  <si>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</si>
  <si>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</si>
  <si>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</si>
  <si>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</si>
  <si>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</si>
  <si>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</si>
  <si>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</si>
  <si>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</si>
  <si>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</si>
  <si>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</si>
  <si>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</si>
  <si>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</si>
  <si>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</si>
  <si>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SECTION K — SES-SOS GOVERNOR (SCADA CONTROL LAW)</t>
  </si>
  <si>
    <t>Analogy</t>
  </si>
  <si>
    <t>Function</t>
  </si>
  <si>
    <t>Owner</t>
  </si>
  <si>
    <t>Speed (A)</t>
  </si>
  <si>
    <t>Accelerator</t>
  </si>
  <si>
    <t>AI's prerogative — built for speed</t>
  </si>
  <si>
    <t>Safety (D²)</t>
  </si>
  <si>
    <t>Brake / Emergency Stop</t>
  </si>
  <si>
    <t>Human's non-delegable prerogative</t>
  </si>
  <si>
    <t>Human</t>
  </si>
  <si>
    <t>Efficiency (P)</t>
  </si>
  <si>
    <t>Cruise Control</t>
  </si>
  <si>
    <t>Resonance frequency at optimal coupling</t>
  </si>
  <si>
    <t>Emergent (shared)</t>
  </si>
  <si>
    <t>SES-SOS</t>
  </si>
  <si>
    <t>Thermal Throttle</t>
  </si>
  <si>
    <t>Mandatory interrupt when A exceeds D² certification threshold</t>
  </si>
  <si>
    <t>System abort</t>
  </si>
  <si>
    <t>Penalty</t>
  </si>
  <si>
    <t>Pulled over for speeding</t>
  </si>
  <si>
    <t>Immediate 4Rs recovery reset</t>
  </si>
  <si>
    <t>Enforced</t>
  </si>
  <si>
    <t>SECTION L — PUPPETEER HIERARCHY (Governance Cascade)</t>
  </si>
  <si>
    <t>Layer 1 (Top)</t>
  </si>
  <si>
    <t>MATHEMATICS</t>
  </si>
  <si>
    <t>The Ultimate Puppeteer — governs all below</t>
  </si>
  <si>
    <t>Layer 2</t>
  </si>
  <si>
    <t>PHYSICS</t>
  </si>
  <si>
    <t>Forces / Dynamics / Infrastructure Loads</t>
  </si>
  <si>
    <t>Layer 3</t>
  </si>
  <si>
    <t>CHEMISTRY</t>
  </si>
  <si>
    <t>Materials / Reaction Kinetics / Bioreactor Integrity</t>
  </si>
  <si>
    <t>Layer 4 (Base)</t>
  </si>
  <si>
    <t>BIOLOGY</t>
  </si>
  <si>
    <t>The Living Human / Organism / Stewardship</t>
  </si>
  <si>
    <t>SECTION M — DEARDEN TENSOR LATTICE</t>
  </si>
  <si>
    <t>Definition: A discrete tensor lattice of order [5,12,5] — formally NOT a voxel grid, NOT a mesh.</t>
  </si>
  <si>
    <t>Each node is independently addressable. Each human navigates carrying their ICE tensor volume (I⊗C⊗E=H).</t>
  </si>
  <si>
    <t>Hierarchy: Dearden Field (conceptual space) → Tensor Lattice (300-node mathematical object) → ICE Cubes (individual HQ volumes)</t>
  </si>
  <si>
    <t>Viewed as invertible compound telescope ("COLLIDOSCOPE" = Collide + Kaleidoscope)</t>
  </si>
  <si>
    <t>SECTION N — NEN 2767 CONDITION SCORING</t>
  </si>
  <si>
    <t>NEN 2767</t>
  </si>
  <si>
    <t>Dutch condition-scoring standard for built assets</t>
  </si>
  <si>
    <t>Objective 1-6 scale for prioritising capital expenditure</t>
  </si>
  <si>
    <t>CSE Mapping</t>
  </si>
  <si>
    <t>Recursion Protocol (4Rs) = Performance Audit Cycle</t>
  </si>
  <si>
    <t>CSE Index acts as Moody's-style Resilience Rating for infrastructure risk</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</si>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</sst>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0"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s>
  <fills count="90">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DF8E8"/>
        <bgColor rgb="FFFDF8E8"/>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s>
  <borders count="40">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s>
  <cellStyleXfs count="1">
    <xf numFmtId="0" fontId="0" fillId="0" borderId="32"/>
  </cellStyleXfs>
  <cellXfs count="522">
    <xf numFmtId="0" fontId="0" fillId="0" borderId="0" xfId="0" applyBorder="1"/>
    <xf numFmtId="0" fontId="1" fillId="2" borderId="1" xfId="0" applyFont="1" applyFill="1" applyBorder="1" applyAlignment="1">
      <alignment horizontal="center" vertical="center" wrapText="1"/>
    </xf>
    <xf numFmtId="0" fontId="2" fillId="3" borderId="1" xfId="0" applyFont="1" applyFill="1" applyBorder="1"/>
    <xf numFmtId="0" fontId="3" fillId="3" borderId="1" xfId="0" applyFont="1" applyFill="1" applyBorder="1"/>
    <xf numFmtId="0" fontId="2" fillId="3" borderId="1" xfId="0" applyFont="1" applyFill="1" applyBorder="1" applyAlignment="1">
      <alignment wrapText="1"/>
    </xf>
    <xf numFmtId="164" fontId="2" fillId="3" borderId="1" xfId="0" applyNumberFormat="1" applyFont="1" applyFill="1" applyBorder="1"/>
    <xf numFmtId="2" fontId="2" fillId="3" borderId="1" xfId="0" applyNumberFormat="1" applyFont="1" applyFill="1" applyBorder="1"/>
    <xf numFmtId="0" fontId="2" fillId="4" borderId="1" xfId="0" applyFont="1" applyFill="1" applyBorder="1"/>
    <xf numFmtId="0" fontId="3" fillId="4" borderId="1" xfId="0" applyFont="1" applyFill="1" applyBorder="1"/>
    <xf numFmtId="0" fontId="2" fillId="4" borderId="1" xfId="0" applyFont="1" applyFill="1" applyBorder="1" applyAlignment="1">
      <alignment wrapText="1"/>
    </xf>
    <xf numFmtId="164" fontId="2" fillId="4" borderId="1" xfId="0" applyNumberFormat="1" applyFont="1" applyFill="1" applyBorder="1"/>
    <xf numFmtId="2" fontId="2" fillId="4" borderId="1" xfId="0" applyNumberFormat="1" applyFont="1" applyFill="1" applyBorder="1"/>
    <xf numFmtId="0" fontId="2" fillId="5" borderId="1" xfId="0" applyFont="1" applyFill="1" applyBorder="1"/>
    <xf numFmtId="0" fontId="3" fillId="5" borderId="1" xfId="0" applyFont="1" applyFill="1" applyBorder="1"/>
    <xf numFmtId="0" fontId="2" fillId="5" borderId="1" xfId="0" applyFont="1" applyFill="1" applyBorder="1" applyAlignment="1">
      <alignment wrapText="1"/>
    </xf>
    <xf numFmtId="164" fontId="2" fillId="5" borderId="1" xfId="0" applyNumberFormat="1" applyFont="1" applyFill="1" applyBorder="1"/>
    <xf numFmtId="2" fontId="2" fillId="5" borderId="1" xfId="0" applyNumberFormat="1" applyFont="1" applyFill="1" applyBorder="1"/>
    <xf numFmtId="0" fontId="2" fillId="6" borderId="1" xfId="0" applyFont="1" applyFill="1" applyBorder="1"/>
    <xf numFmtId="0" fontId="3" fillId="6" borderId="1" xfId="0" applyFont="1" applyFill="1" applyBorder="1"/>
    <xf numFmtId="0" fontId="2" fillId="6" borderId="1" xfId="0" applyFont="1" applyFill="1" applyBorder="1" applyAlignment="1">
      <alignment wrapText="1"/>
    </xf>
    <xf numFmtId="164" fontId="2" fillId="6" borderId="1" xfId="0" applyNumberFormat="1" applyFont="1" applyFill="1" applyBorder="1"/>
    <xf numFmtId="2" fontId="2" fillId="6" borderId="1" xfId="0" applyNumberFormat="1" applyFont="1" applyFill="1" applyBorder="1"/>
    <xf numFmtId="0" fontId="2" fillId="7" borderId="1" xfId="0" applyFont="1" applyFill="1" applyBorder="1"/>
    <xf numFmtId="0" fontId="3" fillId="7" borderId="1" xfId="0" applyFont="1" applyFill="1" applyBorder="1"/>
    <xf numFmtId="0" fontId="2" fillId="7" borderId="1" xfId="0" applyFont="1" applyFill="1" applyBorder="1" applyAlignment="1">
      <alignment wrapText="1"/>
    </xf>
    <xf numFmtId="164" fontId="2" fillId="7" borderId="1" xfId="0" applyNumberFormat="1" applyFont="1" applyFill="1" applyBorder="1"/>
    <xf numFmtId="2" fontId="2" fillId="7" borderId="1" xfId="0" applyNumberFormat="1" applyFont="1" applyFill="1" applyBorder="1"/>
    <xf numFmtId="0" fontId="2" fillId="8" borderId="1" xfId="0" applyFont="1" applyFill="1" applyBorder="1"/>
    <xf numFmtId="0" fontId="3" fillId="8" borderId="1" xfId="0" applyFont="1" applyFill="1" applyBorder="1"/>
    <xf numFmtId="0" fontId="2" fillId="8" borderId="1" xfId="0" applyFont="1" applyFill="1" applyBorder="1" applyAlignment="1">
      <alignment wrapText="1"/>
    </xf>
    <xf numFmtId="164" fontId="2" fillId="8" borderId="1" xfId="0" applyNumberFormat="1" applyFont="1" applyFill="1" applyBorder="1"/>
    <xf numFmtId="2" fontId="2" fillId="8" borderId="1" xfId="0" applyNumberFormat="1" applyFont="1" applyFill="1" applyBorder="1"/>
    <xf numFmtId="0" fontId="2" fillId="9" borderId="1" xfId="0" applyFont="1" applyFill="1" applyBorder="1"/>
    <xf numFmtId="0" fontId="3" fillId="9" borderId="1" xfId="0" applyFont="1" applyFill="1" applyBorder="1"/>
    <xf numFmtId="0" fontId="2" fillId="9" borderId="1" xfId="0" applyFont="1" applyFill="1" applyBorder="1" applyAlignment="1">
      <alignment wrapText="1"/>
    </xf>
    <xf numFmtId="164" fontId="2" fillId="9" borderId="1" xfId="0" applyNumberFormat="1" applyFont="1" applyFill="1" applyBorder="1"/>
    <xf numFmtId="2" fontId="2" fillId="9" borderId="1" xfId="0" applyNumberFormat="1" applyFont="1" applyFill="1" applyBorder="1"/>
    <xf numFmtId="0" fontId="2" fillId="10" borderId="1" xfId="0" applyFont="1" applyFill="1" applyBorder="1"/>
    <xf numFmtId="0" fontId="3" fillId="10" borderId="1" xfId="0" applyFont="1" applyFill="1" applyBorder="1"/>
    <xf numFmtId="0" fontId="2" fillId="10" borderId="1" xfId="0" applyFont="1" applyFill="1" applyBorder="1" applyAlignment="1">
      <alignment wrapText="1"/>
    </xf>
    <xf numFmtId="164" fontId="2" fillId="10" borderId="1" xfId="0" applyNumberFormat="1" applyFont="1" applyFill="1" applyBorder="1"/>
    <xf numFmtId="2" fontId="2" fillId="10" borderId="1" xfId="0" applyNumberFormat="1" applyFont="1" applyFill="1" applyBorder="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Border="1"/>
    <xf numFmtId="0" fontId="0" fillId="2" borderId="0" xfId="0" applyFill="1" applyBorder="1"/>
    <xf numFmtId="0" fontId="8" fillId="0" borderId="0" xfId="0" applyFont="1" applyBorder="1"/>
    <xf numFmtId="0" fontId="9" fillId="0" borderId="0" xfId="0" applyFont="1" applyBorder="1"/>
    <xf numFmtId="0" fontId="10" fillId="0" borderId="0" xfId="0" applyFont="1" applyBorder="1"/>
    <xf numFmtId="0" fontId="2" fillId="0" borderId="0" xfId="0" applyFont="1" applyBorder="1"/>
    <xf numFmtId="0" fontId="11" fillId="0" borderId="0" xfId="0" applyFont="1" applyBorder="1"/>
    <xf numFmtId="0" fontId="12" fillId="0" borderId="0" xfId="0" applyFont="1" applyBorder="1"/>
    <xf numFmtId="0" fontId="7" fillId="2" borderId="0" xfId="0" applyFont="1" applyFill="1" applyBorder="1" applyAlignment="1">
      <alignment horizontal="left" vertical="center"/>
    </xf>
    <xf numFmtId="0" fontId="8" fillId="0" borderId="0" xfId="0" applyFont="1" applyBorder="1" applyAlignment="1">
      <alignment horizontal="left" vertical="center" wrapText="1"/>
    </xf>
    <xf numFmtId="0" fontId="13" fillId="0" borderId="0" xfId="0" applyFont="1" applyBorder="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Border="1"/>
    <xf numFmtId="0" fontId="16" fillId="16" borderId="0" xfId="0" applyFont="1" applyFill="1" applyBorder="1"/>
    <xf numFmtId="0" fontId="16" fillId="2" borderId="0" xfId="0" applyFont="1" applyFill="1" applyBorder="1"/>
    <xf numFmtId="0" fontId="16" fillId="17" borderId="0" xfId="0" applyFont="1" applyFill="1" applyBorder="1"/>
    <xf numFmtId="0" fontId="16" fillId="18" borderId="0" xfId="0" applyFont="1" applyFill="1" applyBorder="1"/>
    <xf numFmtId="0" fontId="16" fillId="19" borderId="0" xfId="0" applyFont="1" applyFill="1" applyBorder="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3" fillId="21" borderId="0" xfId="0" applyFont="1" applyFill="1" applyBorder="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Border="1" applyAlignment="1">
      <alignment horizontal="left" vertical="center" indent="1"/>
    </xf>
    <xf numFmtId="0" fontId="31" fillId="20" borderId="0" xfId="0" applyFont="1" applyFill="1" applyBorder="1" applyAlignment="1">
      <alignment horizontal="left" vertical="center" wrapText="1" indent="1"/>
    </xf>
    <xf numFmtId="0" fontId="0" fillId="20" borderId="0" xfId="0" applyFill="1" applyBorder="1"/>
    <xf numFmtId="0" fontId="22" fillId="2" borderId="0" xfId="0" applyFont="1" applyFill="1" applyBorder="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Border="1" applyAlignment="1">
      <alignment horizontal="left" vertical="top" wrapText="1"/>
    </xf>
    <xf numFmtId="0" fontId="34" fillId="2" borderId="10" xfId="0" applyFont="1" applyFill="1" applyBorder="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xf numFmtId="0" fontId="0" fillId="0" borderId="4" xfId="0" applyBorder="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Border="1" applyAlignment="1">
      <alignment horizontal="left" vertical="center"/>
    </xf>
    <xf numFmtId="0" fontId="0" fillId="29" borderId="0" xfId="0" applyFill="1" applyBorder="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applyBorder="1"/>
    <xf numFmtId="0" fontId="50" fillId="0" borderId="0" xfId="0" applyFont="1" applyBorder="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applyBorder="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applyBorder="1"/>
    <xf numFmtId="0" fontId="56" fillId="37" borderId="0" xfId="0" applyFont="1" applyFill="1" applyBorder="1" applyAlignment="1">
      <alignment horizontal="left" vertical="center" indent="1"/>
    </xf>
    <xf numFmtId="0" fontId="58" fillId="38" borderId="0" xfId="0" applyFont="1" applyFill="1" applyBorder="1" applyAlignment="1">
      <alignment horizontal="left" vertical="center" wrapText="1" indent="1"/>
    </xf>
    <xf numFmtId="0" fontId="57" fillId="38" borderId="0" xfId="0" applyFont="1" applyFill="1" applyBorder="1"/>
    <xf numFmtId="0" fontId="60" fillId="37" borderId="0" xfId="0" applyFont="1" applyFill="1" applyBorder="1" applyAlignment="1">
      <alignment horizontal="left" vertical="center" inden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Border="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Border="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applyBorder="1"/>
    <xf numFmtId="0" fontId="75" fillId="37" borderId="0" xfId="0" applyFont="1" applyFill="1" applyBorder="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applyBorder="1"/>
    <xf numFmtId="0" fontId="75" fillId="38" borderId="0" xfId="0" applyFont="1" applyFill="1" applyBorder="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applyBorder="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Border="1" applyAlignment="1">
      <alignment horizontal="center" vertical="center" wrapText="1"/>
    </xf>
    <xf numFmtId="0" fontId="70" fillId="50" borderId="0" xfId="0" applyFont="1" applyFill="1" applyBorder="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applyBorder="1"/>
    <xf numFmtId="0" fontId="101" fillId="62" borderId="24" xfId="0" applyFont="1" applyFill="1" applyBorder="1" applyAlignment="1">
      <alignment horizontal="center" wrapText="1"/>
    </xf>
    <xf numFmtId="0" fontId="108" fillId="0" borderId="32" xfId="0" applyFont="1"/>
    <xf numFmtId="0" fontId="47" fillId="0" borderId="0" xfId="0" applyFont="1" applyBorder="1"/>
    <xf numFmtId="0" fontId="103" fillId="0" borderId="0" xfId="0" applyFont="1" applyBorder="1"/>
    <xf numFmtId="0" fontId="104" fillId="0" borderId="0" xfId="0" applyFont="1" applyBorder="1"/>
    <xf numFmtId="0" fontId="105" fillId="36" borderId="31" xfId="0" applyFont="1" applyFill="1" applyBorder="1" applyAlignment="1">
      <alignment horizontal="center" vertical="center" wrapText="1"/>
    </xf>
    <xf numFmtId="0" fontId="106" fillId="63" borderId="31" xfId="0" applyFont="1" applyFill="1" applyBorder="1" applyAlignment="1">
      <alignment vertical="center" wrapText="1"/>
    </xf>
    <xf numFmtId="0" fontId="106" fillId="64" borderId="31" xfId="0" applyFont="1" applyFill="1" applyBorder="1" applyAlignment="1">
      <alignment vertical="center" wrapText="1"/>
    </xf>
    <xf numFmtId="0" fontId="107" fillId="0" borderId="0" xfId="0" applyFont="1" applyBorder="1"/>
    <xf numFmtId="0" fontId="106" fillId="65" borderId="31" xfId="0" applyFont="1" applyFill="1" applyBorder="1" applyAlignment="1">
      <alignment vertical="center" wrapText="1"/>
    </xf>
    <xf numFmtId="0" fontId="106" fillId="66" borderId="31" xfId="0" applyFont="1" applyFill="1" applyBorder="1" applyAlignment="1">
      <alignment vertical="center" wrapText="1"/>
    </xf>
    <xf numFmtId="0" fontId="106" fillId="67" borderId="31" xfId="0" applyFont="1" applyFill="1" applyBorder="1" applyAlignment="1">
      <alignment vertical="center" wrapText="1"/>
    </xf>
    <xf numFmtId="0" fontId="80" fillId="0" borderId="0" xfId="0" applyFont="1" applyBorder="1"/>
    <xf numFmtId="0" fontId="48" fillId="65" borderId="0" xfId="0" applyFont="1" applyFill="1" applyBorder="1"/>
    <xf numFmtId="0" fontId="110" fillId="66" borderId="0" xfId="0" applyFont="1" applyFill="1" applyBorder="1"/>
    <xf numFmtId="0" fontId="111" fillId="67" borderId="0" xfId="0" applyFont="1" applyFill="1" applyBorder="1"/>
    <xf numFmtId="0" fontId="108" fillId="36" borderId="32" xfId="0" applyFont="1" applyFill="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Border="1" applyAlignment="1">
      <alignment vertical="top" wrapText="1"/>
    </xf>
    <xf numFmtId="0" fontId="0" fillId="0" borderId="0" xfId="0" applyBorder="1" applyAlignment="1">
      <alignment vertical="top" wrapText="1"/>
    </xf>
    <xf numFmtId="0" fontId="123" fillId="0" borderId="0" xfId="0" applyFont="1" applyBorder="1" applyAlignment="1">
      <alignment vertical="top" wrapText="1"/>
    </xf>
    <xf numFmtId="0" fontId="124" fillId="0" borderId="0" xfId="0" applyFont="1" applyBorder="1" applyAlignment="1">
      <alignment vertical="top" wrapText="1"/>
    </xf>
    <xf numFmtId="0" fontId="125" fillId="0" borderId="0" xfId="0" applyFont="1" applyBorder="1" applyAlignment="1">
      <alignment vertical="top" wrapText="1"/>
    </xf>
    <xf numFmtId="0" fontId="126" fillId="0" borderId="0" xfId="0" applyFont="1" applyBorder="1" applyAlignment="1">
      <alignment vertical="top" wrapText="1"/>
    </xf>
    <xf numFmtId="0" fontId="51" fillId="0" borderId="0" xfId="0" applyFont="1" applyBorder="1" applyAlignment="1">
      <alignment vertical="top" wrapText="1"/>
    </xf>
    <xf numFmtId="0" fontId="127" fillId="0" borderId="0" xfId="0" applyFont="1" applyBorder="1" applyAlignment="1">
      <alignment vertical="top" wrapText="1"/>
    </xf>
    <xf numFmtId="0" fontId="124" fillId="0" borderId="0" xfId="0" applyFont="1" applyBorder="1"/>
    <xf numFmtId="0" fontId="51" fillId="0" borderId="0" xfId="0" applyFont="1" applyBorder="1"/>
    <xf numFmtId="0" fontId="107" fillId="0" borderId="0" xfId="0" applyFont="1" applyBorder="1" applyAlignment="1">
      <alignment horizontal="left" vertical="top"/>
    </xf>
    <xf numFmtId="0" fontId="128" fillId="0" borderId="0" xfId="0" applyFont="1" applyBorder="1"/>
    <xf numFmtId="0" fontId="0" fillId="0" borderId="0" xfId="0" applyBorder="1"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applyBorder="1"/>
    <xf numFmtId="0" fontId="130" fillId="0" borderId="0" xfId="0" applyFont="1" applyBorder="1"/>
    <xf numFmtId="0" fontId="131" fillId="0" borderId="0" xfId="0" applyFont="1" applyBorder="1"/>
    <xf numFmtId="0" fontId="132" fillId="0" borderId="0" xfId="0" applyFont="1" applyBorder="1"/>
    <xf numFmtId="0" fontId="133" fillId="0" borderId="0" xfId="0" applyFont="1" applyBorder="1"/>
    <xf numFmtId="0" fontId="134" fillId="36" borderId="32" xfId="0" applyFont="1" applyFill="1" applyAlignment="1">
      <alignment horizontal="left" vertical="center"/>
    </xf>
    <xf numFmtId="0" fontId="141" fillId="63" borderId="32" xfId="0" applyFont="1" applyFill="1"/>
    <xf numFmtId="0" fontId="142" fillId="63" borderId="32" xfId="0" applyFont="1" applyFill="1"/>
    <xf numFmtId="0" fontId="143" fillId="63" borderId="32" xfId="0" applyFont="1" applyFill="1"/>
    <xf numFmtId="0" fontId="144" fillId="63" borderId="32" xfId="0" applyFont="1" applyFill="1"/>
    <xf numFmtId="0" fontId="145" fillId="63" borderId="32" xfId="0" applyFont="1" applyFill="1"/>
    <xf numFmtId="0" fontId="46" fillId="36" borderId="35" xfId="0" applyFont="1" applyFill="1" applyBorder="1" applyAlignment="1">
      <alignment horizontal="center" vertical="center"/>
    </xf>
    <xf numFmtId="0" fontId="141" fillId="58" borderId="36" xfId="0" applyFont="1" applyFill="1" applyBorder="1"/>
    <xf numFmtId="0" fontId="88" fillId="58" borderId="36" xfId="0" applyFont="1" applyFill="1" applyBorder="1" applyAlignment="1">
      <alignment horizontal="left" vertical="center"/>
    </xf>
    <xf numFmtId="0" fontId="146" fillId="63" borderId="36" xfId="0" applyFont="1" applyFill="1" applyBorder="1" applyAlignment="1">
      <alignment horizontal="center" vertical="center"/>
    </xf>
    <xf numFmtId="0" fontId="141" fillId="63" borderId="36" xfId="0" applyFont="1" applyFill="1" applyBorder="1" applyAlignment="1">
      <alignment horizontal="left" vertical="center"/>
    </xf>
    <xf numFmtId="0" fontId="145" fillId="63" borderId="36" xfId="0" applyFont="1" applyFill="1" applyBorder="1" applyAlignment="1">
      <alignment horizontal="left" vertical="center" wrapText="1"/>
    </xf>
    <xf numFmtId="0" fontId="146" fillId="81" borderId="36" xfId="0" applyFont="1" applyFill="1" applyBorder="1" applyAlignment="1">
      <alignment horizontal="center" vertical="center"/>
    </xf>
    <xf numFmtId="0" fontId="141" fillId="81" borderId="36" xfId="0" applyFont="1" applyFill="1" applyBorder="1" applyAlignment="1">
      <alignment horizontal="left" vertical="center"/>
    </xf>
    <xf numFmtId="0" fontId="145" fillId="81" borderId="36" xfId="0" applyFont="1" applyFill="1" applyBorder="1" applyAlignment="1">
      <alignment horizontal="left" vertical="center" wrapText="1"/>
    </xf>
    <xf numFmtId="0" fontId="137" fillId="63" borderId="32" xfId="0" applyFont="1" applyFill="1"/>
    <xf numFmtId="0" fontId="147" fillId="82" borderId="36" xfId="0" applyFont="1" applyFill="1" applyBorder="1"/>
    <xf numFmtId="0" fontId="148" fillId="82" borderId="36" xfId="0" applyFont="1" applyFill="1" applyBorder="1"/>
    <xf numFmtId="0" fontId="0" fillId="58" borderId="0" xfId="0" applyFill="1" applyBorder="1"/>
    <xf numFmtId="0" fontId="62" fillId="83" borderId="0" xfId="0" applyFont="1" applyFill="1" applyBorder="1"/>
    <xf numFmtId="0" fontId="160" fillId="84" borderId="0" xfId="0" applyFont="1" applyFill="1" applyBorder="1"/>
    <xf numFmtId="0" fontId="161" fillId="51" borderId="0" xfId="0" applyFont="1" applyFill="1" applyBorder="1" applyAlignment="1">
      <alignment horizontal="center" vertical="center" wrapText="1"/>
    </xf>
    <xf numFmtId="0" fontId="159" fillId="83" borderId="0" xfId="0" applyFont="1" applyFill="1" applyBorder="1" applyAlignment="1">
      <alignment horizontal="center"/>
    </xf>
    <xf numFmtId="0" fontId="160" fillId="83" borderId="0" xfId="0" applyFont="1" applyFill="1" applyBorder="1" applyAlignment="1">
      <alignment wrapText="1"/>
    </xf>
    <xf numFmtId="0" fontId="162" fillId="83" borderId="0" xfId="0" applyFont="1" applyFill="1" applyBorder="1" applyAlignment="1">
      <alignment horizontal="center"/>
    </xf>
    <xf numFmtId="0" fontId="160" fillId="83" borderId="0" xfId="0" applyFont="1" applyFill="1" applyBorder="1" applyAlignment="1">
      <alignment horizontal="center"/>
    </xf>
    <xf numFmtId="0" fontId="159" fillId="84" borderId="0" xfId="0" applyFont="1" applyFill="1" applyBorder="1" applyAlignment="1">
      <alignment horizontal="center"/>
    </xf>
    <xf numFmtId="0" fontId="163" fillId="84" borderId="0" xfId="0" applyFont="1" applyFill="1" applyBorder="1"/>
    <xf numFmtId="0" fontId="160" fillId="84" borderId="0" xfId="0" applyFont="1" applyFill="1" applyBorder="1" applyAlignment="1">
      <alignment wrapText="1"/>
    </xf>
    <xf numFmtId="0" fontId="164" fillId="84" borderId="0" xfId="0" applyFont="1" applyFill="1" applyBorder="1" applyAlignment="1">
      <alignment horizontal="center"/>
    </xf>
    <xf numFmtId="0" fontId="160" fillId="84" borderId="0" xfId="0" applyFont="1" applyFill="1" applyBorder="1" applyAlignment="1">
      <alignment horizontal="center"/>
    </xf>
    <xf numFmtId="0" fontId="163" fillId="83" borderId="0" xfId="0" applyFont="1" applyFill="1" applyBorder="1"/>
    <xf numFmtId="0" fontId="162" fillId="84" borderId="0" xfId="0" applyFont="1" applyFill="1" applyBorder="1"/>
    <xf numFmtId="0" fontId="162" fillId="84" borderId="0" xfId="0" applyFont="1" applyFill="1" applyBorder="1" applyAlignment="1">
      <alignment horizontal="center"/>
    </xf>
    <xf numFmtId="0" fontId="163" fillId="83" borderId="0" xfId="0" applyFont="1" applyFill="1" applyBorder="1" applyAlignment="1">
      <alignment horizontal="center"/>
    </xf>
    <xf numFmtId="0" fontId="163" fillId="84" borderId="0" xfId="0" applyFont="1" applyFill="1" applyBorder="1" applyAlignment="1">
      <alignment horizontal="center"/>
    </xf>
    <xf numFmtId="0" fontId="159" fillId="83" borderId="0" xfId="0" applyFont="1" applyFill="1" applyBorder="1"/>
    <xf numFmtId="0" fontId="0" fillId="85" borderId="0" xfId="0" applyFill="1" applyBorder="1"/>
    <xf numFmtId="0" fontId="139" fillId="85" borderId="34" xfId="0" applyFont="1" applyFill="1" applyBorder="1"/>
    <xf numFmtId="0" fontId="114" fillId="85" borderId="0" xfId="0" applyFont="1" applyFill="1" applyBorder="1"/>
    <xf numFmtId="0" fontId="156" fillId="36" borderId="0" xfId="0" applyFont="1" applyFill="1" applyBorder="1" applyAlignment="1">
      <alignment horizontal="center" vertical="center" wrapText="1"/>
    </xf>
    <xf numFmtId="0" fontId="157" fillId="36" borderId="0" xfId="0" applyFont="1" applyFill="1" applyBorder="1" applyAlignment="1">
      <alignment horizontal="center" vertical="center" wrapText="1"/>
    </xf>
    <xf numFmtId="0" fontId="171" fillId="36" borderId="32" xfId="0" applyFont="1" applyFill="1"/>
    <xf numFmtId="0" fontId="171" fillId="86" borderId="32" xfId="0" applyFont="1" applyFill="1"/>
    <xf numFmtId="0" fontId="153" fillId="36" borderId="32" xfId="0" applyFont="1" applyFill="1" applyAlignment="1">
      <alignment horizontal="center" vertical="center"/>
    </xf>
    <xf numFmtId="0" fontId="153" fillId="87" borderId="32" xfId="0" applyFont="1" applyFill="1" applyAlignment="1">
      <alignment horizontal="center" vertical="center"/>
    </xf>
    <xf numFmtId="0" fontId="165" fillId="36" borderId="0" xfId="0" applyFont="1" applyFill="1" applyBorder="1"/>
    <xf numFmtId="0" fontId="138" fillId="36" borderId="0" xfId="0" applyFont="1" applyFill="1" applyBorder="1"/>
    <xf numFmtId="0" fontId="176" fillId="88" borderId="0" xfId="0" applyFont="1" applyFill="1" applyBorder="1"/>
    <xf numFmtId="0" fontId="138" fillId="88" borderId="0" xfId="0" applyFont="1" applyFill="1" applyBorder="1"/>
    <xf numFmtId="0" fontId="177" fillId="36" borderId="0" xfId="0" applyFont="1" applyFill="1" applyBorder="1"/>
    <xf numFmtId="0" fontId="107" fillId="36" borderId="0" xfId="0" applyFont="1" applyFill="1" applyBorder="1"/>
    <xf numFmtId="0" fontId="178" fillId="36" borderId="0" xfId="0" applyFont="1" applyFill="1" applyBorder="1"/>
    <xf numFmtId="0" fontId="179" fillId="36" borderId="0" xfId="0" applyFont="1" applyFill="1" applyBorder="1"/>
    <xf numFmtId="0" fontId="112" fillId="36" borderId="0" xfId="0" applyFont="1" applyFill="1" applyBorder="1"/>
    <xf numFmtId="0" fontId="180" fillId="36" borderId="0" xfId="0" applyFont="1" applyFill="1" applyBorder="1"/>
    <xf numFmtId="0" fontId="165" fillId="88" borderId="0" xfId="0" applyFont="1" applyFill="1" applyBorder="1"/>
    <xf numFmtId="0" fontId="181" fillId="36" borderId="0" xfId="0" applyFont="1" applyFill="1" applyBorder="1"/>
    <xf numFmtId="0" fontId="171" fillId="36" borderId="32" xfId="0" applyFont="1" applyFill="1" applyAlignment="1">
      <alignment horizontal="center" vertical="center"/>
    </xf>
    <xf numFmtId="0" fontId="171" fillId="36" borderId="32" xfId="0" applyFont="1" applyFill="1" applyAlignment="1">
      <alignment horizontal="left" vertical="center"/>
    </xf>
    <xf numFmtId="0" fontId="135" fillId="36" borderId="32" xfId="0" applyFont="1" applyFill="1" applyAlignment="1">
      <alignment horizontal="left" vertical="center"/>
    </xf>
    <xf numFmtId="0" fontId="172" fillId="36" borderId="32" xfId="0" applyFont="1" applyFill="1" applyAlignment="1">
      <alignment horizontal="left" vertical="center"/>
    </xf>
    <xf numFmtId="0" fontId="173" fillId="36" borderId="34" xfId="0" applyFont="1" applyFill="1" applyBorder="1" applyAlignment="1">
      <alignment horizontal="center" vertical="center"/>
    </xf>
    <xf numFmtId="0" fontId="173" fillId="36" borderId="34" xfId="0" applyFont="1" applyFill="1" applyBorder="1" applyAlignment="1">
      <alignment horizontal="left" vertical="center"/>
    </xf>
    <xf numFmtId="0" fontId="171" fillId="86" borderId="32" xfId="0" applyFont="1" applyFill="1" applyAlignment="1">
      <alignment horizontal="center" vertical="center"/>
    </xf>
    <xf numFmtId="0" fontId="171" fillId="86" borderId="32" xfId="0" applyFont="1" applyFill="1" applyAlignment="1">
      <alignment horizontal="left" vertical="center"/>
    </xf>
    <xf numFmtId="0" fontId="174" fillId="36" borderId="32" xfId="0" applyFont="1" applyFill="1" applyAlignment="1">
      <alignment horizontal="left" vertical="center"/>
    </xf>
    <xf numFmtId="0" fontId="171" fillId="87" borderId="32" xfId="0" applyFont="1" applyFill="1" applyAlignment="1">
      <alignment horizontal="left" vertical="center"/>
    </xf>
    <xf numFmtId="0" fontId="174" fillId="87" borderId="32" xfId="0" applyFont="1" applyFill="1" applyAlignment="1">
      <alignment horizontal="left" vertical="center"/>
    </xf>
    <xf numFmtId="0" fontId="173" fillId="36" borderId="32" xfId="0" applyFont="1" applyFill="1" applyAlignment="1">
      <alignment horizontal="left" vertical="center"/>
    </xf>
    <xf numFmtId="0" fontId="175" fillId="36" borderId="32" xfId="0" applyFont="1" applyFill="1" applyAlignment="1">
      <alignment horizontal="left" vertical="center"/>
    </xf>
    <xf numFmtId="0" fontId="186" fillId="36" borderId="0" xfId="0" applyFont="1" applyFill="1" applyBorder="1"/>
    <xf numFmtId="0" fontId="182" fillId="36" borderId="0" xfId="0" applyFont="1" applyFill="1" applyBorder="1"/>
    <xf numFmtId="0" fontId="183" fillId="36" borderId="0" xfId="0" applyFont="1" applyFill="1" applyBorder="1"/>
    <xf numFmtId="0" fontId="184" fillId="36" borderId="0" xfId="0" applyFont="1" applyFill="1" applyBorder="1"/>
    <xf numFmtId="0" fontId="185" fillId="36" borderId="0" xfId="0" applyFont="1" applyFill="1" applyBorder="1"/>
    <xf numFmtId="0" fontId="165" fillId="86" borderId="32" xfId="0" applyFont="1" applyFill="1" applyAlignment="1">
      <alignment horizontal="left" vertical="center"/>
    </xf>
    <xf numFmtId="0" fontId="108" fillId="86" borderId="32" xfId="0" applyFont="1" applyFill="1"/>
    <xf numFmtId="0" fontId="0" fillId="86" borderId="0" xfId="0" applyFill="1" applyBorder="1"/>
    <xf numFmtId="0" fontId="48" fillId="36" borderId="0" xfId="0" applyFont="1" applyFill="1" applyBorder="1" applyAlignment="1">
      <alignment vertical="top" wrapText="1"/>
    </xf>
    <xf numFmtId="0" fontId="138" fillId="36" borderId="0" xfId="0" applyFont="1" applyFill="1" applyBorder="1" applyAlignment="1">
      <alignment vertical="top" wrapText="1"/>
    </xf>
    <xf numFmtId="0" fontId="187" fillId="36" borderId="0" xfId="0" applyFont="1" applyFill="1" applyBorder="1" applyAlignment="1">
      <alignment vertical="top" wrapText="1"/>
    </xf>
    <xf numFmtId="0" fontId="188" fillId="89" borderId="0" xfId="0" applyFont="1" applyFill="1" applyBorder="1" applyAlignment="1">
      <alignment horizontal="center"/>
    </xf>
    <xf numFmtId="0" fontId="0" fillId="89" borderId="0" xfId="0" applyFill="1" applyBorder="1"/>
    <xf numFmtId="0" fontId="138" fillId="89" borderId="0" xfId="0" applyFont="1" applyFill="1" applyBorder="1" applyAlignment="1">
      <alignment horizontal="center"/>
    </xf>
    <xf numFmtId="0" fontId="116" fillId="89" borderId="27" xfId="0" applyFont="1" applyFill="1" applyBorder="1" applyAlignment="1">
      <alignment horizontal="center" vertical="center"/>
    </xf>
    <xf numFmtId="0" fontId="116" fillId="89" borderId="27" xfId="0" applyFont="1" applyFill="1" applyBorder="1"/>
    <xf numFmtId="0" fontId="79" fillId="89" borderId="27" xfId="0" applyFont="1" applyFill="1" applyBorder="1" applyAlignment="1">
      <alignment vertical="center" wrapText="1"/>
    </xf>
    <xf numFmtId="0" fontId="115" fillId="89" borderId="27" xfId="0" applyFont="1" applyFill="1" applyBorder="1" applyAlignment="1">
      <alignment vertical="center" wrapText="1"/>
    </xf>
    <xf numFmtId="0" fontId="189" fillId="89" borderId="27" xfId="0" applyFont="1" applyFill="1" applyBorder="1" applyAlignment="1">
      <alignment vertical="center" wrapText="1"/>
    </xf>
    <xf numFmtId="0" fontId="138" fillId="89" borderId="27" xfId="0" applyFont="1" applyFill="1" applyBorder="1" applyAlignment="1">
      <alignment vertical="center" wrapText="1"/>
    </xf>
    <xf numFmtId="0" fontId="138" fillId="89" borderId="0" xfId="0" applyFont="1" applyFill="1" applyBorder="1"/>
    <xf numFmtId="0" fontId="189" fillId="89" borderId="0" xfId="0" applyFont="1" applyFill="1" applyBorder="1"/>
    <xf numFmtId="0" fontId="116" fillId="89" borderId="0" xfId="0" applyFont="1" applyFill="1" applyBorder="1"/>
    <xf numFmtId="0" fontId="117" fillId="89" borderId="0" xfId="0" applyFont="1" applyFill="1" applyBorder="1"/>
    <xf numFmtId="0" fontId="0" fillId="0" borderId="0" xfId="0" applyBorder="1"/>
    <xf numFmtId="0" fontId="160" fillId="37" borderId="0" xfId="0" applyFont="1" applyFill="1" applyBorder="1"/>
    <xf numFmtId="0" fontId="169" fillId="37" borderId="0" xfId="0" applyFont="1" applyFill="1" applyBorder="1"/>
    <xf numFmtId="0" fontId="167" fillId="83" borderId="0" xfId="0" applyFont="1" applyFill="1" applyBorder="1"/>
    <xf numFmtId="0" fontId="167" fillId="37" borderId="0" xfId="0" applyFont="1" applyFill="1" applyBorder="1"/>
    <xf numFmtId="0" fontId="160" fillId="83" borderId="0" xfId="0" applyFont="1" applyFill="1" applyBorder="1"/>
    <xf numFmtId="0" fontId="161" fillId="29" borderId="0" xfId="0" applyFont="1" applyFill="1" applyBorder="1"/>
    <xf numFmtId="0" fontId="159" fillId="37" borderId="0" xfId="0" applyFont="1" applyFill="1" applyBorder="1"/>
    <xf numFmtId="0" fontId="162" fillId="83" borderId="0" xfId="0" applyFont="1" applyFill="1" applyBorder="1"/>
    <xf numFmtId="0" fontId="169" fillId="83" borderId="0" xfId="0" applyFont="1" applyFill="1" applyBorder="1"/>
    <xf numFmtId="0" fontId="168" fillId="37" borderId="0" xfId="0" applyFont="1" applyFill="1" applyBorder="1"/>
    <xf numFmtId="0" fontId="24" fillId="0" borderId="9" xfId="0" applyFont="1" applyBorder="1" applyAlignment="1">
      <alignment horizontal="left" vertical="center" wrapText="1"/>
    </xf>
    <xf numFmtId="0" fontId="63" fillId="42" borderId="21" xfId="0" applyFont="1" applyFill="1" applyBorder="1" applyAlignment="1">
      <alignment horizontal="left" vertical="center" wrapText="1"/>
    </xf>
    <xf numFmtId="0" fontId="63" fillId="0" borderId="21" xfId="0" applyFont="1" applyBorder="1" applyAlignment="1">
      <alignment horizontal="left" vertical="center" wrapText="1"/>
    </xf>
    <xf numFmtId="0" fontId="61" fillId="39" borderId="21" xfId="0" applyFont="1" applyFill="1" applyBorder="1" applyAlignment="1">
      <alignment horizontal="center" vertical="center" wrapText="1"/>
    </xf>
    <xf numFmtId="0" fontId="57" fillId="37" borderId="0" xfId="0" applyFont="1" applyFill="1" applyBorder="1"/>
    <xf numFmtId="0" fontId="97" fillId="50" borderId="0" xfId="0" applyFont="1" applyFill="1" applyBorder="1" applyAlignment="1">
      <alignment horizontal="left" vertical="top" wrapText="1"/>
    </xf>
    <xf numFmtId="0" fontId="70" fillId="50" borderId="0" xfId="0" applyFont="1" applyFill="1" applyBorder="1" applyAlignment="1">
      <alignment horizontal="left" vertical="top" wrapText="1"/>
    </xf>
    <xf numFmtId="0" fontId="167" fillId="85" borderId="0" xfId="0" applyFont="1" applyFill="1" applyBorder="1"/>
    <xf numFmtId="0" fontId="134" fillId="36" borderId="32" xfId="0" applyFont="1" applyFill="1" applyAlignment="1">
      <alignment horizontal="center" vertical="center" wrapText="1"/>
    </xf>
    <xf numFmtId="0" fontId="0" fillId="0" borderId="0" xfId="0" applyBorder="1"/>
    <xf numFmtId="0" fontId="48" fillId="36" borderId="32" xfId="0" applyFont="1" applyFill="1" applyAlignment="1">
      <alignment horizontal="center" vertical="center" wrapText="1"/>
    </xf>
    <xf numFmtId="0" fontId="152" fillId="36" borderId="32" xfId="0" applyFont="1" applyFill="1" applyAlignment="1">
      <alignment horizontal="center" vertical="center" wrapText="1"/>
    </xf>
    <xf numFmtId="0" fontId="151" fillId="36" borderId="32" xfId="0" applyFont="1" applyFill="1" applyAlignment="1">
      <alignment horizontal="center" vertical="center" wrapText="1"/>
    </xf>
    <xf numFmtId="0" fontId="154" fillId="80" borderId="33" xfId="0" applyFont="1" applyFill="1" applyBorder="1" applyAlignment="1">
      <alignment horizontal="center" vertical="center" wrapText="1"/>
    </xf>
    <xf numFmtId="0" fontId="0" fillId="0" borderId="37" xfId="0" applyBorder="1"/>
    <xf numFmtId="0" fontId="0" fillId="0" borderId="38" xfId="0" applyBorder="1"/>
    <xf numFmtId="0" fontId="140" fillId="36" borderId="32" xfId="0" applyFont="1" applyFill="1" applyAlignment="1">
      <alignment horizontal="center" vertical="center" wrapText="1"/>
    </xf>
    <xf numFmtId="0" fontId="136" fillId="36" borderId="32" xfId="0" applyFont="1" applyFill="1" applyAlignment="1">
      <alignment horizontal="center" vertical="center" wrapText="1"/>
    </xf>
    <xf numFmtId="0" fontId="149" fillId="36" borderId="32" xfId="0" applyFont="1" applyFill="1" applyAlignment="1">
      <alignment horizontal="center" vertical="center" wrapText="1"/>
    </xf>
    <xf numFmtId="0" fontId="118" fillId="80" borderId="33" xfId="0" applyFont="1" applyFill="1" applyBorder="1" applyAlignment="1">
      <alignment horizontal="center" vertical="center" wrapText="1"/>
    </xf>
    <xf numFmtId="0" fontId="138" fillId="36" borderId="32" xfId="0" applyFont="1" applyFill="1" applyAlignment="1">
      <alignment horizontal="center" vertical="center" wrapText="1"/>
    </xf>
    <xf numFmtId="0" fontId="90" fillId="36" borderId="32" xfId="0" applyFont="1" applyFill="1" applyAlignment="1">
      <alignment horizontal="center" vertical="center" wrapText="1"/>
    </xf>
    <xf numFmtId="0" fontId="153" fillId="36" borderId="32" xfId="0" applyFont="1" applyFill="1" applyAlignment="1">
      <alignment horizontal="center" vertical="center" wrapText="1"/>
    </xf>
    <xf numFmtId="0" fontId="150" fillId="36" borderId="32" xfId="0" applyFont="1" applyFill="1" applyAlignment="1">
      <alignment horizontal="center" vertical="center" wrapText="1"/>
    </xf>
    <xf numFmtId="0" fontId="155" fillId="36" borderId="32" xfId="0" applyFont="1" applyFill="1" applyAlignment="1">
      <alignment horizontal="center" vertical="center" wrapText="1"/>
    </xf>
    <xf numFmtId="0" fontId="91" fillId="80" borderId="33" xfId="0" applyFont="1" applyFill="1" applyBorder="1" applyAlignment="1">
      <alignment horizontal="center" vertical="center" wrapText="1"/>
    </xf>
    <xf numFmtId="0" fontId="47" fillId="63" borderId="32" xfId="0" applyFont="1" applyFill="1" applyAlignment="1">
      <alignment horizontal="left" vertical="center" wrapText="1"/>
    </xf>
    <xf numFmtId="0" fontId="167" fillId="85" borderId="32" xfId="0" applyFont="1" applyFill="1"/>
    <xf numFmtId="0" fontId="170" fillId="85" borderId="32" xfId="0" applyFont="1" applyFill="1"/>
    <xf numFmtId="0" fontId="139" fillId="85" borderId="32" xfId="0" applyFont="1" applyFill="1"/>
    <xf numFmtId="0" fontId="167" fillId="83" borderId="32" xfId="0" applyFont="1" applyFill="1"/>
    <xf numFmtId="0" fontId="169" fillId="85" borderId="32" xfId="0" applyFont="1" applyFill="1"/>
    <xf numFmtId="0" fontId="165" fillId="85" borderId="32" xfId="0" applyFont="1" applyFill="1"/>
    <xf numFmtId="0" fontId="159" fillId="37" borderId="32" xfId="0" applyFont="1" applyFill="1"/>
    <xf numFmtId="0" fontId="165" fillId="37" borderId="32" xfId="0" applyFont="1" applyFill="1"/>
    <xf numFmtId="0" fontId="167" fillId="37" borderId="32" xfId="0" applyFont="1" applyFill="1"/>
    <xf numFmtId="0" fontId="169" fillId="83" borderId="32" xfId="0" applyFont="1" applyFill="1"/>
    <xf numFmtId="0" fontId="160" fillId="83" borderId="32" xfId="0" applyFont="1" applyFill="1"/>
    <xf numFmtId="0" fontId="168" fillId="37" borderId="32" xfId="0" applyFont="1" applyFill="1"/>
    <xf numFmtId="0" fontId="160" fillId="37" borderId="32" xfId="0" applyFont="1" applyFill="1"/>
    <xf numFmtId="0" fontId="162" fillId="83" borderId="32" xfId="0" applyFont="1" applyFill="1"/>
    <xf numFmtId="0" fontId="166" fillId="37" borderId="32" xfId="0" applyFont="1" applyFill="1"/>
    <xf numFmtId="0" fontId="158" fillId="37" borderId="32" xfId="0" applyFont="1" applyFill="1"/>
    <xf numFmtId="0" fontId="161" fillId="29" borderId="32" xfId="0" applyFont="1" applyFill="1"/>
    <xf numFmtId="0" fontId="58" fillId="37" borderId="32" xfId="0" applyFont="1" applyFill="1"/>
    <xf numFmtId="0" fontId="169" fillId="37" borderId="32" xfId="0" applyFont="1" applyFill="1"/>
    <xf numFmtId="0" fontId="139" fillId="37" borderId="32" xfId="0" applyFont="1" applyFill="1"/>
    <xf numFmtId="0" fontId="69" fillId="28" borderId="24" xfId="0" applyFont="1" applyFill="1" applyBorder="1" applyAlignment="1">
      <alignment horizontal="left" vertical="center" wrapText="1"/>
    </xf>
    <xf numFmtId="0" fontId="0" fillId="0" borderId="25" xfId="0" applyBorder="1"/>
    <xf numFmtId="0" fontId="71" fillId="28" borderId="24" xfId="0" applyFont="1" applyFill="1" applyBorder="1" applyAlignment="1">
      <alignment horizontal="center" vertical="center" wrapText="1"/>
    </xf>
    <xf numFmtId="0" fontId="91" fillId="77" borderId="32" xfId="0" applyFont="1" applyFill="1" applyAlignment="1">
      <alignment horizontal="left" vertical="center"/>
    </xf>
    <xf numFmtId="0" fontId="120" fillId="68" borderId="32" xfId="0" applyFont="1" applyFill="1" applyAlignment="1">
      <alignment horizontal="center" vertical="center"/>
    </xf>
    <xf numFmtId="0" fontId="122" fillId="68" borderId="32" xfId="0" applyFont="1" applyFill="1" applyAlignment="1">
      <alignment horizontal="center" vertical="center"/>
    </xf>
    <xf numFmtId="0" fontId="119" fillId="68" borderId="32" xfId="0" applyFont="1" applyFill="1" applyAlignment="1">
      <alignment horizontal="center" vertical="center"/>
    </xf>
    <xf numFmtId="0" fontId="91" fillId="70" borderId="32" xfId="0" applyFont="1" applyFill="1" applyAlignment="1">
      <alignment horizontal="left" vertical="center"/>
    </xf>
    <xf numFmtId="0" fontId="37" fillId="28" borderId="32" xfId="0" applyFont="1" applyFill="1" applyAlignment="1">
      <alignment horizontal="left" vertical="center"/>
    </xf>
    <xf numFmtId="0" fontId="38" fillId="0" borderId="32" xfId="0" applyFont="1" applyAlignment="1">
      <alignment horizontal="left" vertical="center" wrapText="1"/>
    </xf>
    <xf numFmtId="0" fontId="14" fillId="2" borderId="32" xfId="0" applyFont="1" applyFill="1" applyAlignment="1">
      <alignment horizontal="center"/>
    </xf>
    <xf numFmtId="0" fontId="17" fillId="2" borderId="32" xfId="0" applyFont="1" applyFill="1"/>
    <xf numFmtId="0" fontId="16" fillId="2" borderId="32" xfId="0" applyFont="1" applyFill="1" applyAlignment="1">
      <alignment horizontal="center"/>
    </xf>
    <xf numFmtId="0" fontId="15" fillId="2" borderId="32" xfId="0" applyFont="1" applyFill="1" applyAlignment="1">
      <alignment horizontal="center"/>
    </xf>
    <xf numFmtId="0" fontId="25" fillId="0" borderId="32" xfId="0" applyFont="1" applyAlignment="1">
      <alignment horizontal="left" vertical="center" wrapText="1"/>
    </xf>
    <xf numFmtId="0" fontId="25" fillId="0" bo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 wrapText="1"/>
    </xf>
    <xf numFmtId="0" fontId="24" fillId="0" borderId="9" xfId="0" applyFont="1" applyBorder="1" applyAlignment="1">
      <alignment horizontal="left" vertical="center" wrapText="1"/>
    </xf>
    <xf numFmtId="0" fontId="0" fillId="0" borderId="9" xfId="0" applyBorder="1"/>
    <xf numFmtId="0" fontId="21" fillId="0" borderId="32" xfId="0" applyFont="1" applyAlignment="1">
      <alignment horizontal="left" vertical="center"/>
    </xf>
    <xf numFmtId="0" fontId="22" fillId="2" borderId="32" xfId="0" applyFont="1" applyFill="1" applyAlignment="1">
      <alignment horizontal="left" vertical="center"/>
    </xf>
    <xf numFmtId="0" fontId="20" fillId="20" borderId="32" xfId="0" applyFont="1" applyFill="1" applyAlignment="1">
      <alignment horizontal="left" vertical="center" wrapText="1"/>
    </xf>
    <xf numFmtId="0" fontId="19" fillId="2" borderId="32" xfId="0" applyFont="1" applyFill="1" applyAlignment="1">
      <alignment horizontal="left" vertical="center"/>
    </xf>
    <xf numFmtId="0" fontId="30" fillId="0" borderId="9" xfId="0" applyFont="1" applyBorder="1" applyAlignment="1">
      <alignment horizontal="left" vertical="center" wrapText="1"/>
    </xf>
    <xf numFmtId="0" fontId="33" fillId="0" borderId="32" xfId="0" applyFont="1"/>
    <xf numFmtId="0" fontId="32" fillId="0" borderId="32" xfId="0" applyFont="1" applyAlignment="1">
      <alignment horizontal="left" vertical="top" wrapText="1"/>
    </xf>
    <xf numFmtId="0" fontId="24" fillId="0" borderId="32" xfId="0" applyFont="1" applyAlignment="1">
      <alignment horizontal="left" vertical="top" wrapText="1"/>
    </xf>
    <xf numFmtId="0" fontId="32" fillId="0" borderId="32" xfId="0" applyFont="1"/>
    <xf numFmtId="0" fontId="41" fillId="0" borderId="32" xfId="0" applyFont="1" applyAlignment="1">
      <alignment horizontal="left" vertical="center"/>
    </xf>
    <xf numFmtId="0" fontId="47" fillId="0" borderId="32" xfId="0" applyFont="1" applyAlignment="1">
      <alignment horizontal="left" vertical="center"/>
    </xf>
    <xf numFmtId="0" fontId="40" fillId="0" borderId="32" xfId="0" applyFont="1" applyAlignment="1">
      <alignment horizontal="left" vertical="center"/>
    </xf>
    <xf numFmtId="0" fontId="47" fillId="0" borderId="32" xfId="0" applyFont="1" applyAlignment="1">
      <alignment horizontal="left" vertical="center" wrapText="1"/>
    </xf>
    <xf numFmtId="0" fontId="44" fillId="0" borderId="32" xfId="0" applyFont="1" applyAlignment="1">
      <alignment horizontal="left" vertical="center" wrapText="1" indent="1"/>
    </xf>
    <xf numFmtId="0" fontId="49" fillId="35" borderId="32" xfId="0" applyFont="1" applyFill="1" applyAlignment="1">
      <alignment horizontal="left" vertical="center" indent="1"/>
    </xf>
    <xf numFmtId="0" fontId="63" fillId="0" borderId="21" xfId="0" applyFont="1" applyBorder="1" applyAlignment="1">
      <alignment horizontal="left" vertical="center" wrapText="1"/>
    </xf>
    <xf numFmtId="0" fontId="0" fillId="0" borderId="22" xfId="0" applyBorder="1"/>
    <xf numFmtId="0" fontId="0" fillId="0" borderId="23" xfId="0" applyBorder="1"/>
    <xf numFmtId="0" fontId="59" fillId="0" borderId="32" xfId="0" applyFont="1" applyAlignment="1">
      <alignment horizontal="left" vertical="top" wrapText="1"/>
    </xf>
    <xf numFmtId="0" fontId="63" fillId="42" borderId="21" xfId="0" applyFont="1" applyFill="1" applyBorder="1" applyAlignment="1">
      <alignment horizontal="left" vertical="center" wrapText="1"/>
    </xf>
    <xf numFmtId="0" fontId="59" fillId="0" borderId="32" xfId="0" applyFont="1"/>
    <xf numFmtId="0" fontId="61" fillId="39" borderId="21" xfId="0" applyFont="1" applyFill="1" applyBorder="1" applyAlignment="1">
      <alignment horizontal="center" vertical="center" wrapText="1"/>
    </xf>
    <xf numFmtId="0" fontId="63" fillId="0" borderId="32" xfId="0" applyFont="1" applyAlignment="1">
      <alignment horizontal="left" vertical="top" wrapText="1"/>
    </xf>
    <xf numFmtId="0" fontId="67" fillId="37" borderId="32" xfId="0" applyFont="1" applyFill="1" applyAlignment="1">
      <alignment horizontal="center" vertical="center"/>
    </xf>
    <xf numFmtId="0" fontId="57" fillId="37" borderId="32" xfId="0" applyFont="1" applyFill="1"/>
    <xf numFmtId="0" fontId="73" fillId="38" borderId="32" xfId="0" applyFont="1" applyFill="1" applyAlignment="1">
      <alignment horizontal="left" vertical="center" wrapText="1" indent="1"/>
    </xf>
    <xf numFmtId="0" fontId="84" fillId="0" borderId="32" xfId="0" applyFont="1" applyAlignment="1">
      <alignment horizontal="left" vertical="top" wrapText="1"/>
    </xf>
    <xf numFmtId="0" fontId="72" fillId="37" borderId="32" xfId="0" applyFont="1" applyFill="1" applyAlignment="1">
      <alignment horizontal="left" vertical="center" indent="1"/>
    </xf>
    <xf numFmtId="0" fontId="75" fillId="37" borderId="32" xfId="0" applyFont="1" applyFill="1" applyAlignment="1">
      <alignment horizontal="left" vertical="center" indent="1"/>
    </xf>
    <xf numFmtId="0" fontId="74" fillId="0" borderId="32" xfId="0" applyFont="1" applyAlignment="1">
      <alignment horizontal="left" vertical="center" wrapText="1" indent="1"/>
    </xf>
    <xf numFmtId="0" fontId="91" fillId="36" borderId="32" xfId="0" applyFont="1" applyFill="1" applyAlignment="1">
      <alignment horizontal="left" vertical="center" wrapText="1" indent="1"/>
    </xf>
    <xf numFmtId="0" fontId="87" fillId="36" borderId="29" xfId="0" applyFont="1" applyFill="1" applyBorder="1" applyAlignment="1">
      <alignment horizontal="left" vertical="center" indent="1"/>
    </xf>
    <xf numFmtId="0" fontId="0" fillId="0" borderId="29" xfId="0" applyBorder="1"/>
    <xf numFmtId="0" fontId="89" fillId="36" borderId="32" xfId="0" applyFont="1" applyFill="1" applyAlignment="1">
      <alignment horizontal="left" vertical="center" wrapText="1" indent="1"/>
    </xf>
    <xf numFmtId="0" fontId="92" fillId="36" borderId="32" xfId="0" applyFont="1" applyFill="1" applyAlignment="1">
      <alignment horizontal="left" vertical="center" wrapText="1" indent="1"/>
    </xf>
    <xf numFmtId="0" fontId="93" fillId="36" borderId="32" xfId="0" applyFont="1" applyFill="1" applyAlignment="1">
      <alignment horizontal="left" vertical="center" wrapText="1" indent="1"/>
    </xf>
    <xf numFmtId="0" fontId="90" fillId="36" borderId="32" xfId="0" applyFont="1" applyFill="1" applyAlignment="1">
      <alignment horizontal="left" vertical="center" wrapText="1" indent="1"/>
    </xf>
    <xf numFmtId="0" fontId="85" fillId="36" borderId="30" xfId="0" applyFont="1" applyFill="1" applyBorder="1" applyAlignment="1">
      <alignment horizontal="left" vertical="center" indent="1"/>
    </xf>
    <xf numFmtId="0" fontId="0" fillId="0" borderId="30" xfId="0" applyBorder="1"/>
    <xf numFmtId="0" fontId="86" fillId="36" borderId="32" xfId="0" applyFont="1" applyFill="1" applyAlignment="1">
      <alignment horizontal="left" vertical="center" indent="1"/>
    </xf>
    <xf numFmtId="0" fontId="94" fillId="28" borderId="32" xfId="0" applyFont="1" applyFill="1" applyAlignment="1">
      <alignment horizontal="left" vertical="top" wrapText="1"/>
    </xf>
    <xf numFmtId="0" fontId="96" fillId="28" borderId="32" xfId="0" applyFont="1" applyFill="1" applyAlignment="1">
      <alignment horizontal="left" vertical="top" wrapText="1"/>
    </xf>
    <xf numFmtId="0" fontId="97" fillId="50" borderId="32" xfId="0" applyFont="1" applyFill="1" applyAlignment="1">
      <alignment horizontal="left" vertical="top" wrapText="1"/>
    </xf>
    <xf numFmtId="0" fontId="95" fillId="28" borderId="32" xfId="0" applyFont="1" applyFill="1" applyAlignment="1">
      <alignment horizontal="left" vertical="top" wrapText="1"/>
    </xf>
    <xf numFmtId="0" fontId="70" fillId="50" borderId="32" xfId="0" applyFont="1" applyFill="1" applyAlignment="1">
      <alignment horizontal="left" vertical="top" wrapText="1"/>
    </xf>
    <xf numFmtId="0" fontId="98" fillId="36" borderId="32" xfId="0" applyFont="1" applyFill="1" applyAlignment="1">
      <alignment horizontal="center" vertical="center"/>
    </xf>
    <xf numFmtId="0" fontId="139" fillId="85" borderId="39" xfId="0" applyFont="1" applyFill="1" applyBorder="1"/>
    <xf numFmtId="0" fontId="0" fillId="0" borderId="39" xfId="0" applyBorder="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Chronological Flow Guide'!A1" TargetMode="External"/><Relationship Id="rId21" Type="http://schemas.openxmlformats.org/officeDocument/2006/relationships/hyperlink" Target="#'Formula Reference'!A1" TargetMode="External"/><Relationship Id="rId42" Type="http://schemas.openxmlformats.org/officeDocument/2006/relationships/hyperlink" Target="#Dearden Field Grid!A1" TargetMode="External"/><Relationship Id="rId47" Type="http://schemas.openxmlformats.org/officeDocument/2006/relationships/hyperlink" Target="#'Fleet Coordination'!A1" TargetMode="External"/><Relationship Id="rId63" Type="http://schemas.openxmlformats.org/officeDocument/2006/relationships/hyperlink" Target="#'Equipment Suite'!A1" TargetMode="External"/><Relationship Id="rId68" Type="http://schemas.openxmlformats.org/officeDocument/2006/relationships/hyperlink" Target="#'Games Research'!A1" TargetMode="External"/><Relationship Id="rId84" Type="http://schemas.openxmlformats.org/officeDocument/2006/relationships/hyperlink" Target="#'Doctrine &amp; Laws'!A1" TargetMode="External"/><Relationship Id="rId89" Type="http://schemas.openxmlformats.org/officeDocument/2006/relationships/hyperlink" Target="#'App Checklist'!A1" TargetMode="External"/><Relationship Id="rId16" Type="http://schemas.openxmlformats.org/officeDocument/2006/relationships/hyperlink" Target="#'Scholar Mapping'!A1" TargetMode="External"/><Relationship Id="rId11" Type="http://schemas.openxmlformats.org/officeDocument/2006/relationships/hyperlink" Target="#'Education Gap (First Cause)'!A1" TargetMode="External"/><Relationship Id="rId32" Type="http://schemas.openxmlformats.org/officeDocument/2006/relationships/hyperlink" Target="#'BEACON Stress-Test'!A1" TargetMode="External"/><Relationship Id="rId37" Type="http://schemas.openxmlformats.org/officeDocument/2006/relationships/hyperlink" Target="#'Integration Levels'!A1" TargetMode="External"/><Relationship Id="rId53" Type="http://schemas.openxmlformats.org/officeDocument/2006/relationships/hyperlink" Target="#'Vessel-Relay Alignment'!A1" TargetMode="External"/><Relationship Id="rId58" Type="http://schemas.openxmlformats.org/officeDocument/2006/relationships/hyperlink" Target="#'4C-4R Strategic Matrix'!A1" TargetMode="External"/><Relationship Id="rId74" Type="http://schemas.openxmlformats.org/officeDocument/2006/relationships/hyperlink" Target="#'InfraDex Species'!A1" TargetMode="External"/><Relationship Id="rId79" Type="http://schemas.openxmlformats.org/officeDocument/2006/relationships/hyperlink" Target="#'ICE Matrix'!A1" TargetMode="External"/><Relationship Id="rId5" Type="http://schemas.openxmlformats.org/officeDocument/2006/relationships/hyperlink" Target="#'Part 2 - CSE 37 Historical'!A1" TargetMode="External"/><Relationship Id="rId90" Type="http://schemas.openxmlformats.org/officeDocument/2006/relationships/hyperlink" Target="#'App Checklist'!A1" TargetMode="External"/><Relationship Id="rId95" Type="http://schemas.openxmlformats.org/officeDocument/2006/relationships/hyperlink" Target="#'Bug Bounty System'!A1" TargetMode="External"/><Relationship Id="rId22" Type="http://schemas.openxmlformats.org/officeDocument/2006/relationships/hyperlink" Target="#'4Rs Intervention'!A1" TargetMode="External"/><Relationship Id="rId27" Type="http://schemas.openxmlformats.org/officeDocument/2006/relationships/hyperlink" Target="#'Chronological Flow Guide'!A1" TargetMode="External"/><Relationship Id="rId43" Type="http://schemas.openxmlformats.org/officeDocument/2006/relationships/hyperlink" Target="#'Dearden Field Grid'!A1" TargetMode="External"/><Relationship Id="rId48" Type="http://schemas.openxmlformats.org/officeDocument/2006/relationships/hyperlink" Target="#'Fleet Coordination'!A1" TargetMode="External"/><Relationship Id="rId64" Type="http://schemas.openxmlformats.org/officeDocument/2006/relationships/hyperlink" Target="#'5 Pillars (300-Node)'!A1" TargetMode="External"/><Relationship Id="rId69" Type="http://schemas.openxmlformats.org/officeDocument/2006/relationships/hyperlink" Target="#'Games Research'!A1" TargetMode="External"/><Relationship Id="rId8" Type="http://schemas.openxmlformats.org/officeDocument/2006/relationships/hyperlink" Target="#'Part 3 - 23 Modern Projects'!A1" TargetMode="External"/><Relationship Id="rId51" Type="http://schemas.openxmlformats.org/officeDocument/2006/relationships/hyperlink" Target="#'AD&amp;D Ability Scores'!A1" TargetMode="External"/><Relationship Id="rId72" Type="http://schemas.openxmlformats.org/officeDocument/2006/relationships/hyperlink" Target="#'App Checklist'!A1" TargetMode="External"/><Relationship Id="rId80" Type="http://schemas.openxmlformats.org/officeDocument/2006/relationships/hyperlink" Target="#'Mobile Layout Schema'!A1" TargetMode="External"/><Relationship Id="rId85" Type="http://schemas.openxmlformats.org/officeDocument/2006/relationships/hyperlink" Target="#'Doctrine &amp; Laws'!A1" TargetMode="External"/><Relationship Id="rId93" Type="http://schemas.openxmlformats.org/officeDocument/2006/relationships/hyperlink" Target="#'Monetisation Mechanics'!A1" TargetMode="External"/><Relationship Id="rId3" Type="http://schemas.openxmlformats.org/officeDocument/2006/relationships/hyperlink" Target="#'Part 1 - CSE in 20 Minutes'!A1" TargetMode="External"/><Relationship Id="rId12" Type="http://schemas.openxmlformats.org/officeDocument/2006/relationships/hyperlink" Target="#Dyad Taxonomy (Block 617)!A1" TargetMode="External"/><Relationship Id="rId17" Type="http://schemas.openxmlformats.org/officeDocument/2006/relationships/hyperlink" Target="#'Relay Coverage Map'!A1" TargetMode="External"/><Relationship Id="rId25" Type="http://schemas.openxmlformats.org/officeDocument/2006/relationships/hyperlink" Target="#'BEACON Stress-Test'!A1" TargetMode="External"/><Relationship Id="rId33" Type="http://schemas.openxmlformats.org/officeDocument/2006/relationships/hyperlink" Target="#'Pilot FITS Mapping'!A1" TargetMode="External"/><Relationship Id="rId38" Type="http://schemas.openxmlformats.org/officeDocument/2006/relationships/hyperlink" Target="#'Integration Levels'!A1" TargetMode="External"/><Relationship Id="rId46" Type="http://schemas.openxmlformats.org/officeDocument/2006/relationships/hyperlink" Target="#'RPG Mechanics Summary'!A1" TargetMode="External"/><Relationship Id="rId59" Type="http://schemas.openxmlformats.org/officeDocument/2006/relationships/hyperlink" Target="#'Level Progression'!A1" TargetMode="External"/><Relationship Id="rId67" Type="http://schemas.openxmlformats.org/officeDocument/2006/relationships/hyperlink" Target="#'Doctrine &amp; Laws'!A1" TargetMode="External"/><Relationship Id="rId20" Type="http://schemas.openxmlformats.org/officeDocument/2006/relationships/hyperlink" Target="#'Formula Reference'!A1" TargetMode="External"/><Relationship Id="rId41" Type="http://schemas.openxmlformats.org/officeDocument/2006/relationships/hyperlink" Target="#'Vessel-Relay Alignment'!A1" TargetMode="External"/><Relationship Id="rId54" Type="http://schemas.openxmlformats.org/officeDocument/2006/relationships/hyperlink" Target="#'Vessel-Relay Alignment'!A1" TargetMode="External"/><Relationship Id="rId62" Type="http://schemas.openxmlformats.org/officeDocument/2006/relationships/hyperlink" Target="#'Equipment Suite'!A1" TargetMode="External"/><Relationship Id="rId70" Type="http://schemas.openxmlformats.org/officeDocument/2006/relationships/hyperlink" Target="#'ISI Calculator Architecture'!A1" TargetMode="External"/><Relationship Id="rId75" Type="http://schemas.openxmlformats.org/officeDocument/2006/relationships/hyperlink" Target="#'4C-4R Strategic Matrix'!A1" TargetMode="External"/><Relationship Id="rId83" Type="http://schemas.openxmlformats.org/officeDocument/2006/relationships/hyperlink" Target="#'Desktop Layout Schema'!A1" TargetMode="External"/><Relationship Id="rId88" Type="http://schemas.openxmlformats.org/officeDocument/2006/relationships/hyperlink" Target="#'ISI Calculator Architecture'!A1" TargetMode="External"/><Relationship Id="rId91" Type="http://schemas.openxmlformats.org/officeDocument/2006/relationships/hyperlink" Target="#'InfraDex Species'!A1" TargetMode="External"/><Relationship Id="rId96" Type="http://schemas.openxmlformats.org/officeDocument/2006/relationships/hyperlink" Target="#'Bug Bounty System'!A1" TargetMode="External"/><Relationship Id="rId1" Type="http://schemas.openxmlformats.org/officeDocument/2006/relationships/hyperlink" Target="#Part 1 - CSE in 20 Minutes!A1" TargetMode="External"/><Relationship Id="rId6" Type="http://schemas.openxmlformats.org/officeDocument/2006/relationships/hyperlink" Target="#'Part 2 - CSE 37 Historical'!A1" TargetMode="External"/><Relationship Id="rId15" Type="http://schemas.openxmlformats.org/officeDocument/2006/relationships/hyperlink" Target="#'Dyad Taxonomy (Block 617)'!A1" TargetMode="External"/><Relationship Id="rId23" Type="http://schemas.openxmlformats.org/officeDocument/2006/relationships/hyperlink" Target="#'Scholar Mapping'!A1" TargetMode="External"/><Relationship Id="rId28" Type="http://schemas.openxmlformats.org/officeDocument/2006/relationships/hyperlink" Target="#'Three Modes'!A1" TargetMode="External"/><Relationship Id="rId36" Type="http://schemas.openxmlformats.org/officeDocument/2006/relationships/hyperlink" Target="#'Fleet Coordination'!A1" TargetMode="External"/><Relationship Id="rId49" Type="http://schemas.openxmlformats.org/officeDocument/2006/relationships/hyperlink" Target="#'Games Research'!A1" TargetMode="External"/><Relationship Id="rId57" Type="http://schemas.openxmlformats.org/officeDocument/2006/relationships/hyperlink" Target="#'Dearden Field Grid'!A1" TargetMode="External"/><Relationship Id="rId10" Type="http://schemas.openxmlformats.org/officeDocument/2006/relationships/hyperlink" Target="#'Part 3 - 23 Modern Projects'!A1" TargetMode="External"/><Relationship Id="rId31" Type="http://schemas.openxmlformats.org/officeDocument/2006/relationships/hyperlink" Target="#'BEACON Stress-Test'!A1" TargetMode="External"/><Relationship Id="rId44" Type="http://schemas.openxmlformats.org/officeDocument/2006/relationships/hyperlink" Target="#'Pilot FITS Mapping'!A1" TargetMode="External"/><Relationship Id="rId52" Type="http://schemas.openxmlformats.org/officeDocument/2006/relationships/hyperlink" Target="#'Dearden Field 60'!A1" TargetMode="External"/><Relationship Id="rId60" Type="http://schemas.openxmlformats.org/officeDocument/2006/relationships/hyperlink" Target="#'Level Progression'!A1" TargetMode="External"/><Relationship Id="rId65" Type="http://schemas.openxmlformats.org/officeDocument/2006/relationships/hyperlink" Target="#'RPG Mechanics Summary'!A1" TargetMode="External"/><Relationship Id="rId73" Type="http://schemas.openxmlformats.org/officeDocument/2006/relationships/hyperlink" Target="#InfraDex Species!A1" TargetMode="External"/><Relationship Id="rId78" Type="http://schemas.openxmlformats.org/officeDocument/2006/relationships/hyperlink" Target="#'ICE Matrix'!A1" TargetMode="External"/><Relationship Id="rId81" Type="http://schemas.openxmlformats.org/officeDocument/2006/relationships/hyperlink" Target="#'5 Pillars (300-Node)'!A1" TargetMode="External"/><Relationship Id="rId86" Type="http://schemas.openxmlformats.org/officeDocument/2006/relationships/hyperlink" Target="#'Citations &amp; References'!A1" TargetMode="External"/><Relationship Id="rId94" Type="http://schemas.openxmlformats.org/officeDocument/2006/relationships/hyperlink" Target="#'Monetisation Mechanics'!A1" TargetMode="External"/><Relationship Id="rId4" Type="http://schemas.openxmlformats.org/officeDocument/2006/relationships/hyperlink" Target="#'Part 1 - CSE in 20 Minutes'!A1" TargetMode="External"/><Relationship Id="rId9" Type="http://schemas.openxmlformats.org/officeDocument/2006/relationships/hyperlink" Target="#'Part 3 - 23 Modern Projects'!A1" TargetMode="External"/><Relationship Id="rId13" Type="http://schemas.openxmlformats.org/officeDocument/2006/relationships/hyperlink" Target="#'Dyad Taxonomy (Block 617)'!A1" TargetMode="External"/><Relationship Id="rId18" Type="http://schemas.openxmlformats.org/officeDocument/2006/relationships/hyperlink" Target="#'Relay Coverage Map'!A1" TargetMode="External"/><Relationship Id="rId39" Type="http://schemas.openxmlformats.org/officeDocument/2006/relationships/hyperlink" Target="#'AD&amp;D Ability Scores'!A1" TargetMode="External"/><Relationship Id="rId34" Type="http://schemas.openxmlformats.org/officeDocument/2006/relationships/hyperlink" Target="#'Three Modes'!A1" TargetMode="External"/><Relationship Id="rId50" Type="http://schemas.openxmlformats.org/officeDocument/2006/relationships/hyperlink" Target="#'AD&amp;D Ability Scores'!A1" TargetMode="External"/><Relationship Id="rId55" Type="http://schemas.openxmlformats.org/officeDocument/2006/relationships/hyperlink" Target="#'Master Register'!A1" TargetMode="External"/><Relationship Id="rId76" Type="http://schemas.openxmlformats.org/officeDocument/2006/relationships/hyperlink" Target="#'4C-4R Strategic Matrix'!A1" TargetMode="External"/><Relationship Id="rId7" Type="http://schemas.openxmlformats.org/officeDocument/2006/relationships/hyperlink" Target="#'Part 2 - CSE 37 Historical'!A1" TargetMode="External"/><Relationship Id="rId71" Type="http://schemas.openxmlformats.org/officeDocument/2006/relationships/hyperlink" Target="#App Checklist!A1" TargetMode="External"/><Relationship Id="rId92" Type="http://schemas.openxmlformats.org/officeDocument/2006/relationships/hyperlink" Target="#'InfraDex Species'!A1" TargetMode="External"/><Relationship Id="rId2" Type="http://schemas.openxmlformats.org/officeDocument/2006/relationships/hyperlink" Target="#'Part 1 - CSE in 20 Minutes'!A1" TargetMode="External"/><Relationship Id="rId29" Type="http://schemas.openxmlformats.org/officeDocument/2006/relationships/hyperlink" Target="#Integration Levels!A1" TargetMode="External"/><Relationship Id="rId24" Type="http://schemas.openxmlformats.org/officeDocument/2006/relationships/hyperlink" Target="#'Scholar Mapping'!A1" TargetMode="External"/><Relationship Id="rId40" Type="http://schemas.openxmlformats.org/officeDocument/2006/relationships/hyperlink" Target="#Vessel-Relay Alignment!A1" TargetMode="External"/><Relationship Id="rId45" Type="http://schemas.openxmlformats.org/officeDocument/2006/relationships/hyperlink" Target="#'Pilot FITS Mapping'!A1" TargetMode="External"/><Relationship Id="rId66" Type="http://schemas.openxmlformats.org/officeDocument/2006/relationships/hyperlink" Target="#'RPG Mechanics Summary'!A1" TargetMode="External"/><Relationship Id="rId87" Type="http://schemas.openxmlformats.org/officeDocument/2006/relationships/hyperlink" Target="#'ISI Calculator Architecture'!A1" TargetMode="External"/><Relationship Id="rId61" Type="http://schemas.openxmlformats.org/officeDocument/2006/relationships/hyperlink" Target="#'ICE Matrix'!A1" TargetMode="External"/><Relationship Id="rId82" Type="http://schemas.openxmlformats.org/officeDocument/2006/relationships/hyperlink" Target="#'5 Pillars (300-Node)'!A1" TargetMode="External"/><Relationship Id="rId19" Type="http://schemas.openxmlformats.org/officeDocument/2006/relationships/hyperlink" Target="#'Chronological Flow Guide'!A1" TargetMode="External"/><Relationship Id="rId14" Type="http://schemas.openxmlformats.org/officeDocument/2006/relationships/hyperlink" Target="#'Dyad Taxonomy (Block 617)'!A1" TargetMode="External"/><Relationship Id="rId30" Type="http://schemas.openxmlformats.org/officeDocument/2006/relationships/hyperlink" Target="#'Integration Levels'!A1" TargetMode="External"/><Relationship Id="rId35" Type="http://schemas.openxmlformats.org/officeDocument/2006/relationships/hyperlink" Target="#'Three Modes'!A1" TargetMode="External"/><Relationship Id="rId56" Type="http://schemas.openxmlformats.org/officeDocument/2006/relationships/hyperlink" Target="#'Dearden Field Grid'!A1" TargetMode="External"/><Relationship Id="rId77" Type="http://schemas.openxmlformats.org/officeDocument/2006/relationships/hyperlink" Target="#'UI Animation Spec'!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showGridLines="0" tabSelected="1" zoomScale="85" workbookViewId="0"/>
  </sheetViews>
  <sheetFormatPr defaultRowHeight="15" x14ac:dyDescent="0.2"/>
  <cols>
    <col min="1" max="1" width="4.9765625" style="396" customWidth="1"/>
    <col min="2" max="2" width="80.0390625" style="396" customWidth="1"/>
    <col min="3" max="3" width="4.9765625" style="396" customWidth="1"/>
  </cols>
  <sheetData>
    <row r="1" spans="1:6" ht="15" customHeight="1" x14ac:dyDescent="0.2">
      <c r="A1" s="243"/>
      <c r="B1" s="243"/>
      <c r="C1" s="243"/>
    </row>
    <row r="2" spans="1:6" ht="15" customHeight="1" x14ac:dyDescent="0.2">
      <c r="A2" s="243"/>
      <c r="B2" s="243"/>
      <c r="C2" s="243"/>
    </row>
    <row r="3" spans="1:6" ht="15" customHeight="1" x14ac:dyDescent="0.2">
      <c r="A3" s="243"/>
      <c r="B3" s="243"/>
      <c r="C3" s="243"/>
    </row>
    <row r="4" spans="1:6" ht="39.950000000000003" customHeight="1" x14ac:dyDescent="0.2">
      <c r="A4" s="243"/>
      <c r="B4" s="415" t="s">
        <v>0</v>
      </c>
      <c r="C4" s="416"/>
      <c r="D4" s="416"/>
      <c r="E4" s="416"/>
      <c r="F4" s="416"/>
    </row>
    <row r="5" spans="1:6" ht="27.95" customHeight="1" x14ac:dyDescent="0.2">
      <c r="A5" s="243"/>
      <c r="B5" s="425" t="s">
        <v>1</v>
      </c>
      <c r="C5" s="416"/>
      <c r="D5" s="416"/>
      <c r="E5" s="416"/>
      <c r="F5" s="416"/>
    </row>
    <row r="6" spans="1:6" ht="3.95" customHeight="1" x14ac:dyDescent="0.2">
      <c r="A6" s="243"/>
      <c r="B6" s="319"/>
      <c r="C6" s="243"/>
    </row>
    <row r="7" spans="1:6" ht="20.100000000000001" customHeight="1" x14ac:dyDescent="0.2">
      <c r="A7" s="243"/>
      <c r="B7" s="243"/>
      <c r="C7" s="243"/>
    </row>
    <row r="8" spans="1:6" ht="26.1" customHeight="1" x14ac:dyDescent="0.2">
      <c r="A8" s="243"/>
      <c r="B8" s="430" t="s">
        <v>2</v>
      </c>
      <c r="C8" s="416"/>
      <c r="D8" s="416"/>
      <c r="E8" s="416"/>
      <c r="F8" s="416"/>
    </row>
    <row r="9" spans="1:6" ht="20.100000000000001" customHeight="1" x14ac:dyDescent="0.2">
      <c r="A9" s="243"/>
      <c r="B9" s="419" t="s">
        <v>3</v>
      </c>
      <c r="C9" s="416"/>
      <c r="D9" s="416"/>
      <c r="E9" s="416"/>
      <c r="F9" s="416"/>
    </row>
    <row r="10" spans="1:6" ht="24.95" customHeight="1" x14ac:dyDescent="0.2">
      <c r="A10" s="243"/>
      <c r="B10" s="243"/>
      <c r="C10" s="243"/>
    </row>
    <row r="11" spans="1:6" ht="21.95" customHeight="1" x14ac:dyDescent="0.2">
      <c r="A11" s="243"/>
      <c r="B11" s="418" t="s">
        <v>4</v>
      </c>
      <c r="C11" s="416"/>
      <c r="D11" s="416"/>
      <c r="E11" s="416"/>
      <c r="F11" s="416"/>
    </row>
    <row r="12" spans="1:6" ht="21.95" customHeight="1" x14ac:dyDescent="0.2">
      <c r="A12" s="243"/>
      <c r="B12" s="418" t="s">
        <v>5</v>
      </c>
      <c r="C12" s="416"/>
      <c r="D12" s="416"/>
      <c r="E12" s="416"/>
      <c r="F12" s="416"/>
    </row>
    <row r="13" spans="1:6" ht="12" customHeight="1" x14ac:dyDescent="0.2">
      <c r="A13" s="243"/>
      <c r="B13" s="243"/>
      <c r="C13" s="243"/>
    </row>
    <row r="14" spans="1:6" ht="21.95" customHeight="1" x14ac:dyDescent="0.2">
      <c r="A14" s="243"/>
      <c r="B14" s="429" t="s">
        <v>6</v>
      </c>
      <c r="C14" s="416"/>
      <c r="D14" s="416"/>
      <c r="E14" s="416"/>
      <c r="F14" s="416"/>
    </row>
    <row r="15" spans="1:6" ht="24.95" customHeight="1" x14ac:dyDescent="0.2">
      <c r="A15" s="243"/>
      <c r="B15" s="243"/>
      <c r="C15" s="243"/>
    </row>
    <row r="16" spans="1:6" ht="3.95" customHeight="1" x14ac:dyDescent="0.2">
      <c r="A16" s="243"/>
      <c r="B16" s="319"/>
      <c r="C16" s="243"/>
    </row>
    <row r="17" spans="1:6" ht="20.100000000000001" customHeight="1" x14ac:dyDescent="0.2">
      <c r="A17" s="243"/>
      <c r="B17" s="243"/>
      <c r="C17" s="243"/>
    </row>
    <row r="18" spans="1:6" ht="20.100000000000001" customHeight="1" x14ac:dyDescent="0.2">
      <c r="A18" s="243"/>
      <c r="B18" s="432" t="s">
        <v>7</v>
      </c>
      <c r="C18" s="421"/>
      <c r="D18" s="421"/>
      <c r="E18" s="421"/>
      <c r="F18" s="422"/>
    </row>
    <row r="19" spans="1:6" ht="18" customHeight="1" x14ac:dyDescent="0.2">
      <c r="A19" s="243"/>
      <c r="B19" s="426" t="s">
        <v>8</v>
      </c>
      <c r="C19" s="421"/>
      <c r="D19" s="421"/>
      <c r="E19" s="421"/>
      <c r="F19" s="422"/>
    </row>
    <row r="20" spans="1:6" ht="18" customHeight="1" x14ac:dyDescent="0.2">
      <c r="A20" s="243"/>
      <c r="B20" s="420" t="s">
        <v>9</v>
      </c>
      <c r="C20" s="421"/>
      <c r="D20" s="421"/>
      <c r="E20" s="421"/>
      <c r="F20" s="422"/>
    </row>
    <row r="21" spans="1:6" ht="24.95" customHeight="1" x14ac:dyDescent="0.2">
      <c r="A21" s="243"/>
      <c r="B21" s="243"/>
      <c r="C21" s="243"/>
    </row>
    <row r="22" spans="1:6" ht="21.95" customHeight="1" x14ac:dyDescent="0.2">
      <c r="A22" s="243"/>
      <c r="B22" s="428" t="s">
        <v>10</v>
      </c>
      <c r="C22" s="416"/>
      <c r="D22" s="416"/>
      <c r="E22" s="416"/>
      <c r="F22" s="416"/>
    </row>
    <row r="23" spans="1:6" ht="18" customHeight="1" x14ac:dyDescent="0.2">
      <c r="A23" s="243"/>
      <c r="B23" s="424" t="s">
        <v>11</v>
      </c>
      <c r="C23" s="416"/>
      <c r="D23" s="416"/>
      <c r="E23" s="416"/>
      <c r="F23" s="416"/>
    </row>
    <row r="24" spans="1:6" ht="20.100000000000001" customHeight="1" x14ac:dyDescent="0.2">
      <c r="A24" s="243"/>
      <c r="B24" s="243"/>
      <c r="C24" s="243"/>
    </row>
    <row r="25" spans="1:6" ht="20.100000000000001" customHeight="1" x14ac:dyDescent="0.2">
      <c r="A25" s="243"/>
      <c r="B25" s="424" t="s">
        <v>12</v>
      </c>
      <c r="C25" s="416"/>
      <c r="D25" s="416"/>
      <c r="E25" s="416"/>
      <c r="F25" s="416"/>
    </row>
    <row r="26" spans="1:6" ht="18" customHeight="1" x14ac:dyDescent="0.2">
      <c r="A26" s="243"/>
      <c r="B26" s="431" t="s">
        <v>13</v>
      </c>
      <c r="C26" s="416"/>
      <c r="D26" s="416"/>
      <c r="E26" s="416"/>
      <c r="F26" s="416"/>
    </row>
    <row r="27" spans="1:6" ht="24.95" customHeight="1" x14ac:dyDescent="0.2">
      <c r="A27" s="243"/>
      <c r="B27" s="243"/>
      <c r="C27" s="243"/>
    </row>
    <row r="28" spans="1:6" ht="3.95" customHeight="1" x14ac:dyDescent="0.2">
      <c r="A28" s="243"/>
      <c r="B28" s="319"/>
      <c r="C28" s="243"/>
    </row>
    <row r="29" spans="1:6" ht="15" customHeight="1" x14ac:dyDescent="0.2">
      <c r="A29" s="243"/>
      <c r="B29" s="243"/>
      <c r="C29" s="243"/>
    </row>
    <row r="30" spans="1:6" ht="20.100000000000001" customHeight="1" x14ac:dyDescent="0.2">
      <c r="A30" s="243"/>
      <c r="B30" s="417" t="s">
        <v>14</v>
      </c>
      <c r="C30" s="416"/>
      <c r="D30" s="416"/>
      <c r="E30" s="416"/>
      <c r="F30" s="416"/>
    </row>
    <row r="31" spans="1:6" ht="18" customHeight="1" x14ac:dyDescent="0.2">
      <c r="A31" s="243"/>
      <c r="B31" s="427" t="s">
        <v>15</v>
      </c>
      <c r="C31" s="416"/>
      <c r="D31" s="416"/>
      <c r="E31" s="416"/>
      <c r="F31" s="416"/>
    </row>
    <row r="32" spans="1:6" ht="18" customHeight="1" x14ac:dyDescent="0.2">
      <c r="A32" s="243"/>
      <c r="B32" s="424" t="s">
        <v>16</v>
      </c>
      <c r="C32" s="416"/>
      <c r="D32" s="416"/>
      <c r="E32" s="416"/>
      <c r="F32" s="416"/>
    </row>
    <row r="33" spans="1:6" ht="20.100000000000001" customHeight="1" x14ac:dyDescent="0.2">
      <c r="A33" s="243"/>
      <c r="B33" s="243"/>
      <c r="C33" s="243"/>
    </row>
    <row r="34" spans="1:6" ht="18" customHeight="1" x14ac:dyDescent="0.2">
      <c r="A34" s="243"/>
      <c r="B34" s="423" t="s">
        <v>17</v>
      </c>
      <c r="C34" s="416"/>
      <c r="D34" s="416"/>
      <c r="E34" s="416"/>
      <c r="F34" s="416"/>
    </row>
    <row r="35" spans="1:6" ht="15" customHeight="1" x14ac:dyDescent="0.2">
      <c r="A35" s="243"/>
      <c r="B35" s="243"/>
      <c r="C35" s="243"/>
    </row>
    <row r="36" spans="1:6" ht="20.100000000000001" customHeight="1" x14ac:dyDescent="0.2">
      <c r="A36" s="243"/>
      <c r="B36" s="341" t="s">
        <v>18</v>
      </c>
      <c r="C36" s="243"/>
    </row>
    <row r="37" spans="1:6" ht="24.95" customHeight="1" x14ac:dyDescent="0.2">
      <c r="A37" s="243"/>
      <c r="B37" s="243"/>
      <c r="C37" s="243"/>
    </row>
    <row r="38" spans="1:6" ht="30" customHeight="1" x14ac:dyDescent="0.2">
      <c r="A38" s="243"/>
      <c r="B38" s="342" t="s">
        <v>19</v>
      </c>
      <c r="C38" s="243"/>
    </row>
    <row r="39" spans="1:6" x14ac:dyDescent="0.2">
      <c r="A39" s="243"/>
      <c r="B39" s="243"/>
      <c r="C39" s="243"/>
    </row>
    <row r="40" spans="1:6" x14ac:dyDescent="0.2">
      <c r="A40" s="243"/>
      <c r="B40" s="243"/>
      <c r="C40" s="243"/>
    </row>
    <row r="41" spans="1:6" x14ac:dyDescent="0.2">
      <c r="A41" s="243"/>
      <c r="B41" s="243"/>
      <c r="C41" s="243"/>
    </row>
    <row r="42" spans="1:6" x14ac:dyDescent="0.2">
      <c r="A42" s="243"/>
      <c r="B42" s="243"/>
      <c r="C42" s="243"/>
    </row>
    <row r="43" spans="1:6" x14ac:dyDescent="0.2">
      <c r="A43" s="243"/>
      <c r="B43" s="243"/>
      <c r="C43" s="243"/>
    </row>
    <row r="44" spans="1:6" x14ac:dyDescent="0.2">
      <c r="A44" s="243"/>
      <c r="B44" s="243"/>
      <c r="C44" s="243"/>
    </row>
  </sheetData>
  <mergeCells count="18">
    <mergeCell ref="B34:F34"/>
    <mergeCell ref="B11:F11"/>
    <mergeCell ref="B25:F25"/>
    <mergeCell ref="B5:F5"/>
    <mergeCell ref="B19:F19"/>
    <mergeCell ref="B31:F31"/>
    <mergeCell ref="B23:F23"/>
    <mergeCell ref="B22:F22"/>
    <mergeCell ref="B14:F14"/>
    <mergeCell ref="B32:F32"/>
    <mergeCell ref="B8:F8"/>
    <mergeCell ref="B26:F26"/>
    <mergeCell ref="B18:F18"/>
    <mergeCell ref="B4:F4"/>
    <mergeCell ref="B30:F30"/>
    <mergeCell ref="B12:F12"/>
    <mergeCell ref="B9:F9"/>
    <mergeCell ref="B20:F20"/>
  </mergeCells>
  <hyperlinks>
    <hyperlink ref="B26"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2"/>
  <sheetViews>
    <sheetView showGridLines="0" workbookViewId="0">
      <pane ySplit="5" topLeftCell="A6" activePane="bottomLeft" state="frozen"/>
      <selection pane="bottomLeft"/>
    </sheetView>
  </sheetViews>
  <sheetFormatPr defaultRowHeight="15" x14ac:dyDescent="0.2"/>
  <cols>
    <col min="1" max="1" width="4.9765625" style="396" customWidth="1"/>
    <col min="2" max="2" width="20.04296875" style="396" customWidth="1"/>
    <col min="3" max="3" width="34.97265625" style="396" customWidth="1"/>
    <col min="4" max="9" width="13.046875" style="396" hidden="1" customWidth="1"/>
  </cols>
  <sheetData>
    <row r="1" spans="1:10" ht="30" customHeight="1" x14ac:dyDescent="0.2">
      <c r="A1" s="359"/>
      <c r="B1" s="301" t="s">
        <v>20</v>
      </c>
      <c r="C1" s="360"/>
      <c r="D1" s="343"/>
      <c r="E1" s="343"/>
      <c r="F1" s="271"/>
      <c r="G1" s="256"/>
      <c r="H1" s="256"/>
      <c r="I1" s="256"/>
      <c r="J1" s="256"/>
    </row>
    <row r="2" spans="1:10" ht="18" customHeight="1" x14ac:dyDescent="0.2">
      <c r="A2" s="359"/>
      <c r="B2" s="361" t="s">
        <v>2</v>
      </c>
      <c r="C2" s="360"/>
      <c r="D2" s="343"/>
      <c r="E2" s="343"/>
      <c r="F2" s="271"/>
      <c r="G2" s="256"/>
      <c r="H2" s="256"/>
      <c r="I2" s="256"/>
      <c r="J2" s="256"/>
    </row>
    <row r="3" spans="1:10" ht="18" customHeight="1" x14ac:dyDescent="0.2">
      <c r="A3" s="359"/>
      <c r="B3" s="362" t="s">
        <v>10</v>
      </c>
      <c r="C3" s="360"/>
      <c r="D3" s="343"/>
      <c r="E3" s="343"/>
      <c r="F3" s="271"/>
      <c r="G3" s="256"/>
      <c r="H3" s="256"/>
      <c r="I3" s="256"/>
      <c r="J3" s="256"/>
    </row>
    <row r="4" spans="1:10" ht="18" customHeight="1" x14ac:dyDescent="0.2">
      <c r="A4" s="359"/>
      <c r="B4" s="362" t="s">
        <v>21</v>
      </c>
      <c r="C4" s="360"/>
      <c r="D4" s="343"/>
      <c r="E4" s="343"/>
      <c r="F4" s="271"/>
      <c r="G4" s="256"/>
      <c r="H4" s="256"/>
      <c r="I4" s="256"/>
      <c r="J4" s="256"/>
    </row>
    <row r="5" spans="1:10" ht="21.95" customHeight="1" x14ac:dyDescent="0.2">
      <c r="A5" s="363" t="s">
        <v>22</v>
      </c>
      <c r="B5" s="364" t="s">
        <v>23</v>
      </c>
      <c r="C5" s="364" t="s">
        <v>24</v>
      </c>
      <c r="D5" s="343"/>
      <c r="E5" s="343"/>
      <c r="F5" s="271"/>
      <c r="G5" s="256"/>
      <c r="H5" s="256"/>
      <c r="I5" s="256"/>
      <c r="J5" s="256"/>
    </row>
    <row r="6" spans="1:10" ht="24" customHeight="1" x14ac:dyDescent="0.2">
      <c r="A6" s="365"/>
      <c r="B6" s="377" t="s">
        <v>25</v>
      </c>
      <c r="C6" s="366" t="s">
        <v>26</v>
      </c>
      <c r="D6" s="344"/>
      <c r="E6" s="344"/>
      <c r="F6" s="378"/>
      <c r="G6" s="256"/>
      <c r="H6" s="256"/>
      <c r="I6" s="256"/>
      <c r="J6" s="256"/>
    </row>
    <row r="7" spans="1:10" ht="18" customHeight="1" x14ac:dyDescent="0.2">
      <c r="A7" s="345" t="s">
        <v>27</v>
      </c>
      <c r="B7" s="360" t="s">
        <v>28</v>
      </c>
      <c r="C7" s="367" t="s">
        <v>29</v>
      </c>
      <c r="D7" s="343"/>
      <c r="E7" s="343"/>
      <c r="F7" s="271"/>
      <c r="G7" s="256"/>
      <c r="H7" s="256"/>
      <c r="I7" s="256"/>
      <c r="J7" s="256"/>
    </row>
    <row r="8" spans="1:10" ht="18" customHeight="1" x14ac:dyDescent="0.2">
      <c r="A8" s="346" t="s">
        <v>30</v>
      </c>
      <c r="B8" s="368" t="s">
        <v>31</v>
      </c>
      <c r="C8" s="369" t="s">
        <v>32</v>
      </c>
      <c r="D8" s="343"/>
      <c r="E8" s="343"/>
      <c r="F8" s="271"/>
      <c r="G8" s="256"/>
      <c r="H8" s="256"/>
      <c r="I8" s="256"/>
      <c r="J8" s="256"/>
    </row>
    <row r="9" spans="1:10" ht="18" customHeight="1" x14ac:dyDescent="0.2">
      <c r="A9" s="345" t="s">
        <v>33</v>
      </c>
      <c r="B9" s="360" t="s">
        <v>34</v>
      </c>
      <c r="C9" s="367" t="s">
        <v>35</v>
      </c>
      <c r="D9" s="343"/>
      <c r="E9" s="343"/>
      <c r="F9" s="271"/>
      <c r="G9" s="256"/>
      <c r="H9" s="256"/>
      <c r="I9" s="256"/>
      <c r="J9" s="256"/>
    </row>
    <row r="10" spans="1:10" ht="18" customHeight="1" x14ac:dyDescent="0.2">
      <c r="A10" s="346" t="s">
        <v>36</v>
      </c>
      <c r="B10" s="368" t="s">
        <v>37</v>
      </c>
      <c r="C10" s="369" t="s">
        <v>38</v>
      </c>
      <c r="D10" s="343"/>
      <c r="E10" s="343"/>
      <c r="F10" s="243"/>
    </row>
    <row r="11" spans="1:10" ht="18" customHeight="1" x14ac:dyDescent="0.2">
      <c r="A11" s="345" t="s">
        <v>39</v>
      </c>
      <c r="B11" s="360" t="s">
        <v>40</v>
      </c>
      <c r="C11" s="367" t="s">
        <v>41</v>
      </c>
      <c r="D11" s="343"/>
      <c r="E11" s="343"/>
      <c r="F11" s="271"/>
      <c r="G11" s="256"/>
      <c r="H11" s="256"/>
      <c r="I11" s="256"/>
      <c r="J11" s="256"/>
    </row>
    <row r="12" spans="1:10" ht="18" customHeight="1" x14ac:dyDescent="0.2">
      <c r="A12" s="346" t="s">
        <v>42</v>
      </c>
      <c r="B12" s="368" t="s">
        <v>43</v>
      </c>
      <c r="C12" s="369" t="s">
        <v>44</v>
      </c>
      <c r="D12" s="343"/>
      <c r="E12" s="343"/>
      <c r="F12" s="271"/>
      <c r="G12" s="256"/>
      <c r="H12" s="256"/>
      <c r="I12" s="256"/>
      <c r="J12" s="256"/>
    </row>
    <row r="13" spans="1:10" ht="18" customHeight="1" x14ac:dyDescent="0.2">
      <c r="A13" s="345" t="s">
        <v>45</v>
      </c>
      <c r="B13" s="360" t="s">
        <v>46</v>
      </c>
      <c r="C13" s="367" t="s">
        <v>47</v>
      </c>
      <c r="D13" s="343"/>
      <c r="E13" s="343"/>
      <c r="F13" s="271"/>
      <c r="G13" s="256"/>
      <c r="H13" s="256"/>
      <c r="I13" s="256"/>
      <c r="J13" s="256"/>
    </row>
    <row r="14" spans="1:10" ht="18" customHeight="1" x14ac:dyDescent="0.2">
      <c r="A14" s="346" t="s">
        <v>48</v>
      </c>
      <c r="B14" s="368" t="s">
        <v>49</v>
      </c>
      <c r="C14" s="369" t="s">
        <v>50</v>
      </c>
      <c r="D14" s="343"/>
      <c r="E14" s="343"/>
      <c r="F14" s="271"/>
      <c r="G14" s="256"/>
      <c r="H14" s="256"/>
      <c r="I14" s="256"/>
      <c r="J14" s="256"/>
    </row>
    <row r="15" spans="1:10" ht="18" customHeight="1" x14ac:dyDescent="0.2">
      <c r="A15" s="345" t="s">
        <v>51</v>
      </c>
      <c r="B15" s="360" t="s">
        <v>52</v>
      </c>
      <c r="C15" s="367" t="s">
        <v>53</v>
      </c>
      <c r="D15" s="343"/>
      <c r="E15" s="343"/>
      <c r="F15" s="271"/>
      <c r="G15" s="256"/>
      <c r="H15" s="256"/>
      <c r="I15" s="256"/>
      <c r="J15" s="256"/>
    </row>
    <row r="16" spans="1:10" ht="18" customHeight="1" x14ac:dyDescent="0.2">
      <c r="A16" s="346" t="s">
        <v>54</v>
      </c>
      <c r="B16" s="368" t="s">
        <v>55</v>
      </c>
      <c r="C16" s="369" t="s">
        <v>56</v>
      </c>
      <c r="D16" s="343"/>
      <c r="E16" s="343"/>
      <c r="F16" s="271"/>
      <c r="G16" s="256"/>
      <c r="H16" s="256"/>
      <c r="I16" s="256"/>
      <c r="J16" s="256"/>
    </row>
    <row r="17" spans="1:10" ht="24" customHeight="1" x14ac:dyDescent="0.2">
      <c r="A17" s="346" t="s">
        <v>26</v>
      </c>
      <c r="B17" s="377" t="s">
        <v>57</v>
      </c>
      <c r="C17" s="366" t="s">
        <v>26</v>
      </c>
      <c r="D17" s="344"/>
      <c r="E17" s="344"/>
      <c r="F17" s="379"/>
    </row>
    <row r="18" spans="1:10" ht="18" customHeight="1" x14ac:dyDescent="0.2">
      <c r="A18" s="345" t="s">
        <v>58</v>
      </c>
      <c r="B18" s="360" t="s">
        <v>59</v>
      </c>
      <c r="C18" s="367" t="s">
        <v>60</v>
      </c>
      <c r="D18" s="343"/>
      <c r="E18" s="343"/>
      <c r="F18" s="271"/>
      <c r="G18" s="256"/>
      <c r="H18" s="256"/>
      <c r="I18" s="256"/>
      <c r="J18" s="256"/>
    </row>
    <row r="19" spans="1:10" ht="18" customHeight="1" x14ac:dyDescent="0.2">
      <c r="A19" s="346" t="s">
        <v>61</v>
      </c>
      <c r="B19" s="368" t="s">
        <v>62</v>
      </c>
      <c r="C19" s="369" t="s">
        <v>63</v>
      </c>
      <c r="D19" s="343"/>
      <c r="E19" s="343"/>
      <c r="F19" s="271"/>
      <c r="G19" s="256"/>
      <c r="H19" s="256"/>
      <c r="I19" s="256"/>
      <c r="J19" s="256"/>
    </row>
    <row r="20" spans="1:10" ht="18" customHeight="1" x14ac:dyDescent="0.2">
      <c r="A20" s="345" t="s">
        <v>64</v>
      </c>
      <c r="B20" s="360" t="s">
        <v>65</v>
      </c>
      <c r="C20" s="367" t="s">
        <v>66</v>
      </c>
      <c r="D20" s="343"/>
      <c r="E20" s="343"/>
      <c r="F20" s="271"/>
      <c r="G20" s="256"/>
      <c r="H20" s="256"/>
      <c r="I20" s="256"/>
      <c r="J20" s="256"/>
    </row>
    <row r="21" spans="1:10" ht="18" customHeight="1" x14ac:dyDescent="0.2">
      <c r="A21" s="346" t="s">
        <v>67</v>
      </c>
      <c r="B21" s="368" t="s">
        <v>68</v>
      </c>
      <c r="C21" s="369" t="s">
        <v>69</v>
      </c>
      <c r="D21" s="343"/>
      <c r="E21" s="343"/>
      <c r="F21" s="271"/>
      <c r="G21" s="256"/>
      <c r="H21" s="256"/>
      <c r="I21" s="256"/>
      <c r="J21" s="256"/>
    </row>
    <row r="22" spans="1:10" ht="18" customHeight="1" x14ac:dyDescent="0.2">
      <c r="A22" s="345" t="s">
        <v>70</v>
      </c>
      <c r="B22" s="360" t="s">
        <v>71</v>
      </c>
      <c r="C22" s="367" t="s">
        <v>72</v>
      </c>
      <c r="D22" s="343"/>
      <c r="E22" s="343"/>
      <c r="F22" s="271"/>
      <c r="G22" s="256"/>
      <c r="H22" s="256"/>
      <c r="I22" s="256"/>
      <c r="J22" s="256"/>
    </row>
    <row r="23" spans="1:10" ht="24" customHeight="1" x14ac:dyDescent="0.2">
      <c r="A23" s="345" t="s">
        <v>26</v>
      </c>
      <c r="B23" s="377" t="s">
        <v>73</v>
      </c>
      <c r="C23" s="366" t="s">
        <v>26</v>
      </c>
      <c r="D23" s="344"/>
      <c r="E23" s="344"/>
      <c r="F23" s="378"/>
      <c r="G23" s="256"/>
      <c r="H23" s="256"/>
      <c r="I23" s="256"/>
      <c r="J23" s="256"/>
    </row>
    <row r="24" spans="1:10" ht="18" customHeight="1" x14ac:dyDescent="0.2">
      <c r="A24" s="346" t="s">
        <v>74</v>
      </c>
      <c r="B24" s="368" t="s">
        <v>75</v>
      </c>
      <c r="C24" s="369" t="s">
        <v>76</v>
      </c>
      <c r="D24" s="343"/>
      <c r="E24" s="343"/>
      <c r="F24" s="271"/>
      <c r="G24" s="256"/>
      <c r="H24" s="256"/>
      <c r="I24" s="256"/>
      <c r="J24" s="256"/>
    </row>
    <row r="25" spans="1:10" ht="18" customHeight="1" x14ac:dyDescent="0.2">
      <c r="A25" s="345" t="s">
        <v>77</v>
      </c>
      <c r="B25" s="360" t="s">
        <v>78</v>
      </c>
      <c r="C25" s="367" t="s">
        <v>79</v>
      </c>
      <c r="D25" s="343"/>
      <c r="E25" s="343"/>
      <c r="F25" s="271"/>
      <c r="G25" s="256"/>
      <c r="H25" s="256"/>
      <c r="I25" s="256"/>
      <c r="J25" s="256"/>
    </row>
    <row r="26" spans="1:10" ht="18" customHeight="1" x14ac:dyDescent="0.2">
      <c r="A26" s="346" t="s">
        <v>80</v>
      </c>
      <c r="B26" s="368" t="s">
        <v>81</v>
      </c>
      <c r="C26" s="369" t="s">
        <v>82</v>
      </c>
      <c r="D26" s="343"/>
      <c r="E26" s="343"/>
      <c r="F26" s="271"/>
      <c r="G26" s="256"/>
      <c r="H26" s="256"/>
      <c r="I26" s="256"/>
      <c r="J26" s="256"/>
    </row>
    <row r="27" spans="1:10" ht="18" customHeight="1" x14ac:dyDescent="0.2">
      <c r="A27" s="345" t="s">
        <v>83</v>
      </c>
      <c r="B27" s="360" t="s">
        <v>84</v>
      </c>
      <c r="C27" s="367" t="s">
        <v>85</v>
      </c>
      <c r="D27" s="343"/>
      <c r="E27" s="343"/>
      <c r="F27" s="271"/>
      <c r="G27" s="256"/>
      <c r="H27" s="256"/>
      <c r="I27" s="256"/>
      <c r="J27" s="256"/>
    </row>
    <row r="28" spans="1:10" ht="18" customHeight="1" x14ac:dyDescent="0.2">
      <c r="A28" s="346" t="s">
        <v>86</v>
      </c>
      <c r="B28" s="368" t="s">
        <v>87</v>
      </c>
      <c r="C28" s="369" t="s">
        <v>88</v>
      </c>
      <c r="D28" s="343"/>
      <c r="E28" s="343"/>
      <c r="F28" s="271"/>
      <c r="G28" s="256"/>
      <c r="H28" s="256"/>
      <c r="I28" s="256"/>
      <c r="J28" s="256"/>
    </row>
    <row r="29" spans="1:10" ht="18" customHeight="1" x14ac:dyDescent="0.2">
      <c r="A29" s="345" t="s">
        <v>89</v>
      </c>
      <c r="B29" s="360" t="s">
        <v>90</v>
      </c>
      <c r="C29" s="367" t="s">
        <v>91</v>
      </c>
      <c r="D29" s="343"/>
      <c r="E29" s="343"/>
      <c r="F29" s="271"/>
      <c r="G29" s="256"/>
      <c r="H29" s="256"/>
      <c r="I29" s="256"/>
      <c r="J29" s="256"/>
    </row>
    <row r="30" spans="1:10" ht="24" customHeight="1" x14ac:dyDescent="0.2">
      <c r="A30" s="345" t="s">
        <v>26</v>
      </c>
      <c r="B30" s="377" t="s">
        <v>92</v>
      </c>
      <c r="C30" s="366" t="s">
        <v>26</v>
      </c>
      <c r="D30" s="344"/>
      <c r="E30" s="344"/>
      <c r="F30" s="378"/>
      <c r="G30" s="256"/>
      <c r="H30" s="256"/>
      <c r="I30" s="256"/>
      <c r="J30" s="256"/>
    </row>
    <row r="31" spans="1:10" ht="18" customHeight="1" x14ac:dyDescent="0.2">
      <c r="A31" s="346" t="s">
        <v>93</v>
      </c>
      <c r="B31" s="368" t="s">
        <v>94</v>
      </c>
      <c r="C31" s="369" t="s">
        <v>95</v>
      </c>
      <c r="D31" s="343"/>
      <c r="E31" s="343"/>
      <c r="F31" s="271"/>
      <c r="G31" s="256"/>
      <c r="H31" s="256"/>
      <c r="I31" s="256"/>
      <c r="J31" s="256"/>
    </row>
    <row r="32" spans="1:10" ht="18" customHeight="1" x14ac:dyDescent="0.2">
      <c r="A32" s="345" t="s">
        <v>96</v>
      </c>
      <c r="B32" s="360" t="s">
        <v>97</v>
      </c>
      <c r="C32" s="367" t="s">
        <v>98</v>
      </c>
      <c r="D32" s="343"/>
      <c r="E32" s="343"/>
      <c r="F32" s="271"/>
      <c r="G32" s="256"/>
      <c r="H32" s="256"/>
      <c r="I32" s="256"/>
      <c r="J32" s="256"/>
    </row>
    <row r="33" spans="1:10" ht="18" customHeight="1" x14ac:dyDescent="0.2">
      <c r="A33" s="346" t="s">
        <v>99</v>
      </c>
      <c r="B33" s="368" t="s">
        <v>100</v>
      </c>
      <c r="C33" s="369" t="s">
        <v>101</v>
      </c>
      <c r="D33" s="343"/>
      <c r="E33" s="343"/>
      <c r="F33" s="271"/>
      <c r="G33" s="256"/>
      <c r="H33" s="256"/>
      <c r="I33" s="256"/>
      <c r="J33" s="256"/>
    </row>
    <row r="34" spans="1:10" ht="18" customHeight="1" x14ac:dyDescent="0.2">
      <c r="A34" s="345" t="s">
        <v>102</v>
      </c>
      <c r="B34" s="360" t="s">
        <v>103</v>
      </c>
      <c r="C34" s="367" t="s">
        <v>104</v>
      </c>
      <c r="D34" s="343"/>
      <c r="E34" s="343"/>
      <c r="F34" s="271"/>
      <c r="G34" s="256"/>
      <c r="H34" s="256"/>
      <c r="I34" s="256"/>
      <c r="J34" s="256"/>
    </row>
    <row r="35" spans="1:10" ht="18" customHeight="1" x14ac:dyDescent="0.2">
      <c r="A35" s="346" t="s">
        <v>105</v>
      </c>
      <c r="B35" s="368" t="s">
        <v>106</v>
      </c>
      <c r="C35" s="369" t="s">
        <v>107</v>
      </c>
      <c r="D35" s="343"/>
      <c r="E35" s="343"/>
      <c r="F35" s="271"/>
      <c r="G35" s="256"/>
      <c r="H35" s="256"/>
      <c r="I35" s="256"/>
      <c r="J35" s="256"/>
    </row>
    <row r="36" spans="1:10" ht="18" customHeight="1" x14ac:dyDescent="0.2">
      <c r="A36" s="345" t="s">
        <v>108</v>
      </c>
      <c r="B36" s="360" t="s">
        <v>109</v>
      </c>
      <c r="C36" s="367" t="s">
        <v>110</v>
      </c>
      <c r="D36" s="343"/>
      <c r="E36" s="343"/>
      <c r="F36" s="271"/>
      <c r="G36" s="256"/>
      <c r="H36" s="256"/>
      <c r="I36" s="256"/>
      <c r="J36" s="256"/>
    </row>
    <row r="37" spans="1:10" ht="18" customHeight="1" x14ac:dyDescent="0.2">
      <c r="A37" s="346" t="s">
        <v>111</v>
      </c>
      <c r="B37" s="368" t="s">
        <v>112</v>
      </c>
      <c r="C37" s="369" t="s">
        <v>113</v>
      </c>
      <c r="D37" s="343"/>
      <c r="E37" s="343"/>
      <c r="F37" s="271"/>
      <c r="G37" s="256"/>
      <c r="H37" s="256"/>
      <c r="I37" s="256"/>
      <c r="J37" s="256"/>
    </row>
    <row r="38" spans="1:10" ht="18" customHeight="1" x14ac:dyDescent="0.2">
      <c r="A38" s="345" t="s">
        <v>114</v>
      </c>
      <c r="B38" s="360" t="s">
        <v>115</v>
      </c>
      <c r="C38" s="367" t="s">
        <v>116</v>
      </c>
      <c r="D38" s="343"/>
      <c r="E38" s="343"/>
      <c r="F38" s="271"/>
      <c r="G38" s="256"/>
      <c r="H38" s="256"/>
      <c r="I38" s="256"/>
      <c r="J38" s="256"/>
    </row>
    <row r="39" spans="1:10" ht="24" customHeight="1" x14ac:dyDescent="0.2">
      <c r="A39" s="365"/>
      <c r="B39" s="377" t="s">
        <v>117</v>
      </c>
      <c r="C39" s="366"/>
      <c r="D39" s="344"/>
      <c r="E39" s="344"/>
      <c r="F39" s="378"/>
      <c r="G39" s="256"/>
      <c r="H39" s="256"/>
      <c r="I39" s="256"/>
      <c r="J39" s="256"/>
    </row>
    <row r="40" spans="1:10" ht="18" customHeight="1" x14ac:dyDescent="0.2">
      <c r="A40" s="346" t="s">
        <v>118</v>
      </c>
      <c r="B40" s="368" t="s">
        <v>119</v>
      </c>
      <c r="C40" s="369" t="s">
        <v>120</v>
      </c>
      <c r="D40" s="343"/>
      <c r="E40" s="343"/>
      <c r="F40" s="271"/>
      <c r="G40" s="256"/>
      <c r="H40" s="256"/>
      <c r="I40" s="256"/>
      <c r="J40" s="256"/>
    </row>
    <row r="41" spans="1:10" ht="18" customHeight="1" x14ac:dyDescent="0.2">
      <c r="A41" s="345" t="s">
        <v>121</v>
      </c>
      <c r="B41" s="360" t="s">
        <v>122</v>
      </c>
      <c r="C41" s="367" t="s">
        <v>123</v>
      </c>
      <c r="D41" s="343"/>
      <c r="E41" s="343"/>
      <c r="F41" s="271"/>
      <c r="G41" s="256"/>
      <c r="H41" s="256"/>
      <c r="I41" s="256"/>
      <c r="J41" s="256"/>
    </row>
    <row r="42" spans="1:10" ht="18" customHeight="1" x14ac:dyDescent="0.2">
      <c r="A42" s="346" t="s">
        <v>124</v>
      </c>
      <c r="B42" s="368" t="s">
        <v>125</v>
      </c>
      <c r="C42" s="369" t="s">
        <v>126</v>
      </c>
      <c r="D42" s="343"/>
      <c r="E42" s="343"/>
      <c r="F42" s="271"/>
      <c r="G42" s="256"/>
      <c r="H42" s="256"/>
      <c r="I42" s="256"/>
      <c r="J42" s="256"/>
    </row>
    <row r="43" spans="1:10" ht="18" customHeight="1" x14ac:dyDescent="0.2">
      <c r="A43" s="345" t="s">
        <v>127</v>
      </c>
      <c r="B43" s="360" t="s">
        <v>128</v>
      </c>
      <c r="C43" s="367" t="s">
        <v>129</v>
      </c>
      <c r="D43" s="343"/>
      <c r="E43" s="343"/>
      <c r="F43" s="271"/>
      <c r="G43" s="256"/>
      <c r="H43" s="256"/>
      <c r="I43" s="256"/>
      <c r="J43" s="256"/>
    </row>
    <row r="44" spans="1:10" ht="18" customHeight="1" x14ac:dyDescent="0.2">
      <c r="A44" s="346" t="s">
        <v>130</v>
      </c>
      <c r="B44" s="368" t="s">
        <v>131</v>
      </c>
      <c r="C44" s="369" t="s">
        <v>132</v>
      </c>
      <c r="D44" s="343"/>
      <c r="E44" s="343"/>
      <c r="F44" s="271"/>
      <c r="G44" s="256"/>
      <c r="H44" s="256"/>
      <c r="I44" s="256"/>
      <c r="J44" s="256"/>
    </row>
    <row r="45" spans="1:10" ht="18" customHeight="1" x14ac:dyDescent="0.2">
      <c r="A45" s="345" t="s">
        <v>133</v>
      </c>
      <c r="B45" s="360" t="s">
        <v>134</v>
      </c>
      <c r="C45" s="367" t="s">
        <v>135</v>
      </c>
      <c r="D45" s="343"/>
      <c r="E45" s="343"/>
      <c r="F45" s="271"/>
      <c r="G45" s="256"/>
      <c r="H45" s="256"/>
      <c r="I45" s="256"/>
      <c r="J45" s="256"/>
    </row>
    <row r="46" spans="1:10" ht="18" customHeight="1" x14ac:dyDescent="0.2">
      <c r="A46" s="346" t="s">
        <v>136</v>
      </c>
      <c r="B46" s="368" t="s">
        <v>137</v>
      </c>
      <c r="C46" s="369" t="s">
        <v>138</v>
      </c>
      <c r="D46" s="343"/>
      <c r="E46" s="343"/>
      <c r="F46" s="271"/>
      <c r="G46" s="256"/>
      <c r="H46" s="256"/>
      <c r="I46" s="256"/>
      <c r="J46" s="256"/>
    </row>
    <row r="47" spans="1:10" ht="18" customHeight="1" x14ac:dyDescent="0.2">
      <c r="A47" s="345" t="s">
        <v>139</v>
      </c>
      <c r="B47" s="360" t="s">
        <v>140</v>
      </c>
      <c r="C47" s="367" t="s">
        <v>141</v>
      </c>
      <c r="D47" s="343"/>
      <c r="E47" s="343"/>
      <c r="F47" s="271"/>
      <c r="G47" s="256"/>
      <c r="H47" s="256"/>
      <c r="I47" s="256"/>
      <c r="J47" s="256"/>
    </row>
    <row r="48" spans="1:10" ht="18" customHeight="1" x14ac:dyDescent="0.2">
      <c r="A48" s="346" t="s">
        <v>142</v>
      </c>
      <c r="B48" s="368" t="s">
        <v>143</v>
      </c>
      <c r="C48" s="369" t="s">
        <v>144</v>
      </c>
      <c r="D48" s="343"/>
      <c r="E48" s="343"/>
      <c r="F48" s="271"/>
      <c r="G48" s="256"/>
      <c r="H48" s="256"/>
      <c r="I48" s="256"/>
      <c r="J48" s="256"/>
    </row>
    <row r="49" spans="1:10" ht="18" customHeight="1" x14ac:dyDescent="0.2">
      <c r="A49" s="345" t="s">
        <v>145</v>
      </c>
      <c r="B49" s="360" t="s">
        <v>146</v>
      </c>
      <c r="C49" s="367" t="s">
        <v>147</v>
      </c>
      <c r="D49" s="343"/>
      <c r="E49" s="343"/>
      <c r="F49" s="271"/>
      <c r="G49" s="256"/>
      <c r="H49" s="256"/>
      <c r="I49" s="256"/>
      <c r="J49" s="256"/>
    </row>
    <row r="50" spans="1:10" ht="18" customHeight="1" x14ac:dyDescent="0.2">
      <c r="A50" s="346" t="s">
        <v>148</v>
      </c>
      <c r="B50" s="368" t="s">
        <v>149</v>
      </c>
      <c r="C50" s="369" t="s">
        <v>150</v>
      </c>
      <c r="D50" s="343"/>
      <c r="E50" s="343"/>
      <c r="F50" s="243"/>
    </row>
    <row r="51" spans="1:10" ht="18" customHeight="1" x14ac:dyDescent="0.2">
      <c r="A51" s="345" t="s">
        <v>151</v>
      </c>
      <c r="B51" s="360" t="s">
        <v>152</v>
      </c>
      <c r="C51" s="367" t="s">
        <v>153</v>
      </c>
      <c r="D51" s="343"/>
      <c r="E51" s="343"/>
      <c r="F51" s="243"/>
    </row>
    <row r="52" spans="1:10" ht="18" customHeight="1" x14ac:dyDescent="0.2">
      <c r="A52" s="346" t="s">
        <v>154</v>
      </c>
      <c r="B52" s="368" t="s">
        <v>155</v>
      </c>
      <c r="C52" s="369" t="s">
        <v>156</v>
      </c>
      <c r="D52" s="343"/>
      <c r="E52" s="343"/>
      <c r="F52" s="243"/>
    </row>
    <row r="53" spans="1:10" ht="18" customHeight="1" x14ac:dyDescent="0.2">
      <c r="A53" s="359"/>
      <c r="B53" s="360"/>
      <c r="C53" s="360"/>
      <c r="D53" s="343"/>
      <c r="E53" s="343"/>
      <c r="F53" s="243"/>
    </row>
    <row r="54" spans="1:10" ht="18" customHeight="1" x14ac:dyDescent="0.2">
      <c r="A54" s="359"/>
      <c r="B54" s="370" t="s">
        <v>157</v>
      </c>
      <c r="C54" s="360"/>
      <c r="D54" s="343"/>
      <c r="E54" s="343"/>
      <c r="F54" s="243"/>
    </row>
    <row r="55" spans="1:10" ht="18" customHeight="1" x14ac:dyDescent="0.2">
      <c r="A55" s="359"/>
      <c r="B55" s="371" t="s">
        <v>158</v>
      </c>
      <c r="C55" s="371" t="s">
        <v>159</v>
      </c>
      <c r="D55" s="343"/>
      <c r="E55" s="343"/>
      <c r="F55" s="243"/>
    </row>
    <row r="56" spans="1:10" ht="18" customHeight="1" x14ac:dyDescent="0.2">
      <c r="A56" s="359"/>
      <c r="B56" s="371" t="s">
        <v>160</v>
      </c>
      <c r="C56" s="371" t="s">
        <v>161</v>
      </c>
      <c r="D56" s="343"/>
      <c r="E56" s="343"/>
      <c r="F56" s="243"/>
    </row>
    <row r="57" spans="1:10" ht="18" customHeight="1" x14ac:dyDescent="0.2">
      <c r="A57" s="359"/>
      <c r="B57" s="371" t="s">
        <v>162</v>
      </c>
      <c r="C57" s="371" t="s">
        <v>163</v>
      </c>
      <c r="D57" s="343"/>
      <c r="E57" s="343"/>
      <c r="F57" s="243"/>
    </row>
    <row r="58" spans="1:10" ht="18" customHeight="1" x14ac:dyDescent="0.2">
      <c r="A58" s="359"/>
      <c r="B58" s="371" t="s">
        <v>164</v>
      </c>
      <c r="C58" s="371" t="s">
        <v>165</v>
      </c>
      <c r="D58" s="343"/>
      <c r="E58" s="343"/>
      <c r="F58" s="243"/>
    </row>
    <row r="59" spans="1:10" ht="18" customHeight="1" x14ac:dyDescent="0.2">
      <c r="A59" s="359"/>
      <c r="B59" s="360"/>
      <c r="C59" s="360"/>
      <c r="D59" s="343"/>
      <c r="E59" s="343"/>
      <c r="F59" s="243"/>
    </row>
    <row r="60" spans="1:10" ht="18" customHeight="1" x14ac:dyDescent="0.2">
      <c r="A60" s="359"/>
      <c r="B60" s="360"/>
      <c r="C60" s="360"/>
      <c r="D60" s="343"/>
      <c r="E60" s="343"/>
      <c r="F60" s="243"/>
    </row>
    <row r="61" spans="1:10" ht="18" customHeight="1" x14ac:dyDescent="0.2">
      <c r="A61" s="359"/>
      <c r="B61" s="360"/>
      <c r="C61" s="360"/>
      <c r="D61" s="343"/>
      <c r="E61" s="343"/>
      <c r="F61" s="243"/>
    </row>
    <row r="62" spans="1:10" ht="18" customHeight="1" x14ac:dyDescent="0.2">
      <c r="A62" s="359"/>
      <c r="B62" s="360"/>
      <c r="C62" s="360"/>
      <c r="D62" s="343"/>
      <c r="E62" s="343"/>
      <c r="F62" s="243"/>
    </row>
    <row r="63" spans="1:10" ht="18" customHeight="1" x14ac:dyDescent="0.2">
      <c r="A63" s="359"/>
      <c r="B63" s="360"/>
      <c r="C63" s="360"/>
      <c r="D63" s="343"/>
      <c r="E63" s="343"/>
      <c r="F63" s="243"/>
    </row>
    <row r="64" spans="1:10" ht="18" customHeight="1" x14ac:dyDescent="0.2">
      <c r="A64" s="359"/>
      <c r="B64" s="360"/>
      <c r="C64" s="360"/>
      <c r="D64" s="343"/>
      <c r="E64" s="343"/>
      <c r="F64" s="243"/>
    </row>
    <row r="65" spans="1:6" ht="18" customHeight="1" x14ac:dyDescent="0.2">
      <c r="A65" s="359"/>
      <c r="B65" s="360"/>
      <c r="C65" s="360"/>
      <c r="D65" s="343"/>
      <c r="E65" s="343"/>
      <c r="F65" s="243"/>
    </row>
    <row r="66" spans="1:6" ht="18" customHeight="1" x14ac:dyDescent="0.2">
      <c r="A66" s="359"/>
      <c r="B66" s="360"/>
      <c r="C66" s="360"/>
      <c r="D66" s="343"/>
      <c r="E66" s="343"/>
      <c r="F66" s="243"/>
    </row>
    <row r="67" spans="1:6" ht="18" customHeight="1" x14ac:dyDescent="0.2">
      <c r="A67" s="359"/>
      <c r="B67" s="360"/>
      <c r="C67" s="360"/>
      <c r="D67" s="343"/>
      <c r="E67" s="343"/>
      <c r="F67" s="243"/>
    </row>
    <row r="68" spans="1:6" ht="18" customHeight="1" x14ac:dyDescent="0.2">
      <c r="A68" s="359"/>
      <c r="B68" s="360"/>
      <c r="C68" s="360"/>
      <c r="D68" s="343"/>
      <c r="E68" s="343"/>
      <c r="F68" s="243"/>
    </row>
    <row r="69" spans="1:6" ht="18" customHeight="1" x14ac:dyDescent="0.2">
      <c r="A69" s="359"/>
      <c r="B69" s="360"/>
      <c r="C69" s="360"/>
      <c r="D69" s="343"/>
      <c r="E69" s="343"/>
      <c r="F69" s="243"/>
    </row>
    <row r="70" spans="1:6" ht="18" customHeight="1" x14ac:dyDescent="0.2">
      <c r="A70" s="359"/>
      <c r="B70" s="360"/>
      <c r="C70" s="360"/>
      <c r="D70" s="343"/>
      <c r="E70" s="343"/>
      <c r="F70" s="243"/>
    </row>
    <row r="71" spans="1:6" ht="18" customHeight="1" x14ac:dyDescent="0.2">
      <c r="A71" s="359"/>
      <c r="B71" s="360"/>
      <c r="C71" s="360"/>
      <c r="D71" s="343"/>
      <c r="E71" s="343"/>
      <c r="F71" s="243"/>
    </row>
    <row r="72" spans="1:6" ht="18" customHeight="1" x14ac:dyDescent="0.2">
      <c r="A72" s="359"/>
      <c r="B72" s="360"/>
      <c r="C72" s="360"/>
      <c r="D72" s="343"/>
      <c r="E72" s="343"/>
      <c r="F72" s="243"/>
    </row>
    <row r="73" spans="1:6" ht="18" customHeight="1" x14ac:dyDescent="0.2">
      <c r="A73" s="359"/>
      <c r="B73" s="360"/>
      <c r="C73" s="360"/>
      <c r="D73" s="343"/>
      <c r="E73" s="343"/>
      <c r="F73" s="243"/>
    </row>
    <row r="74" spans="1:6" ht="18" customHeight="1" x14ac:dyDescent="0.2">
      <c r="A74" s="359"/>
      <c r="B74" s="360"/>
      <c r="C74" s="360"/>
      <c r="D74" s="343"/>
      <c r="E74" s="343"/>
      <c r="F74" s="243"/>
    </row>
    <row r="75" spans="1:6" ht="18" customHeight="1" x14ac:dyDescent="0.2">
      <c r="A75" s="359"/>
      <c r="B75" s="360"/>
      <c r="C75" s="360"/>
      <c r="D75" s="343"/>
      <c r="E75" s="343"/>
      <c r="F75" s="243"/>
    </row>
    <row r="76" spans="1:6" ht="18" customHeight="1" x14ac:dyDescent="0.2">
      <c r="A76" s="359"/>
      <c r="B76" s="360"/>
      <c r="C76" s="360"/>
      <c r="D76" s="343"/>
      <c r="E76" s="343"/>
      <c r="F76" s="243"/>
    </row>
    <row r="77" spans="1:6" ht="18" customHeight="1" x14ac:dyDescent="0.2">
      <c r="A77" s="359"/>
      <c r="B77" s="360"/>
      <c r="C77" s="360"/>
      <c r="D77" s="343"/>
      <c r="E77" s="343"/>
      <c r="F77" s="243"/>
    </row>
    <row r="78" spans="1:6" ht="18" customHeight="1" x14ac:dyDescent="0.2">
      <c r="A78" s="359"/>
      <c r="B78" s="360"/>
      <c r="C78" s="360"/>
      <c r="D78" s="343"/>
      <c r="E78" s="343"/>
      <c r="F78" s="243"/>
    </row>
    <row r="79" spans="1:6" ht="18" customHeight="1" x14ac:dyDescent="0.2">
      <c r="A79" s="359"/>
      <c r="B79" s="360"/>
      <c r="C79" s="360"/>
      <c r="D79" s="343"/>
      <c r="E79" s="343"/>
      <c r="F79" s="243"/>
    </row>
    <row r="80" spans="1:6" ht="18" customHeight="1" x14ac:dyDescent="0.2">
      <c r="A80" s="359"/>
      <c r="B80" s="360"/>
      <c r="C80" s="360"/>
      <c r="D80" s="343"/>
      <c r="E80" s="343"/>
      <c r="F80" s="243"/>
    </row>
    <row r="81" spans="1:6" ht="18" customHeight="1" x14ac:dyDescent="0.2">
      <c r="A81" s="359"/>
      <c r="B81" s="360"/>
      <c r="C81" s="360"/>
      <c r="D81" s="343"/>
      <c r="E81" s="343"/>
      <c r="F81" s="243"/>
    </row>
    <row r="82" spans="1:6" ht="18" customHeight="1" x14ac:dyDescent="0.2">
      <c r="A82" s="359"/>
      <c r="B82" s="360"/>
      <c r="C82" s="360"/>
      <c r="D82" s="343"/>
      <c r="E82" s="343"/>
      <c r="F82" s="243"/>
    </row>
    <row r="83" spans="1:6" ht="18" customHeight="1" x14ac:dyDescent="0.2">
      <c r="A83" s="359"/>
      <c r="B83" s="360"/>
      <c r="C83" s="360"/>
      <c r="D83" s="343"/>
      <c r="E83" s="343"/>
      <c r="F83" s="243"/>
    </row>
    <row r="84" spans="1:6" ht="18" customHeight="1" x14ac:dyDescent="0.2">
      <c r="A84" s="359"/>
      <c r="B84" s="360"/>
      <c r="C84" s="360"/>
      <c r="D84" s="343"/>
      <c r="E84" s="343"/>
      <c r="F84" s="243"/>
    </row>
    <row r="85" spans="1:6" ht="18" customHeight="1" x14ac:dyDescent="0.2">
      <c r="A85" s="359"/>
      <c r="B85" s="360"/>
      <c r="C85" s="360"/>
      <c r="D85" s="343"/>
      <c r="E85" s="343"/>
      <c r="F85" s="243"/>
    </row>
    <row r="86" spans="1:6" ht="18" customHeight="1" x14ac:dyDescent="0.2">
      <c r="A86" s="359"/>
      <c r="B86" s="360"/>
      <c r="C86" s="360"/>
      <c r="D86" s="343"/>
      <c r="E86" s="343"/>
      <c r="F86" s="243"/>
    </row>
    <row r="87" spans="1:6" ht="18" customHeight="1" x14ac:dyDescent="0.2">
      <c r="A87" s="359"/>
      <c r="B87" s="360"/>
      <c r="C87" s="360"/>
      <c r="D87" s="343"/>
      <c r="E87" s="343"/>
      <c r="F87" s="243"/>
    </row>
    <row r="88" spans="1:6" ht="18" customHeight="1" x14ac:dyDescent="0.2">
      <c r="A88" s="359"/>
      <c r="B88" s="360"/>
      <c r="C88" s="360"/>
      <c r="D88" s="343"/>
      <c r="E88" s="343"/>
      <c r="F88" s="243"/>
    </row>
    <row r="89" spans="1:6" ht="18" customHeight="1" x14ac:dyDescent="0.2">
      <c r="A89" s="359"/>
      <c r="B89" s="360"/>
      <c r="C89" s="360"/>
      <c r="D89" s="343"/>
      <c r="E89" s="343"/>
      <c r="F89" s="243"/>
    </row>
    <row r="90" spans="1:6" ht="18" customHeight="1" x14ac:dyDescent="0.2">
      <c r="A90" s="359"/>
      <c r="B90" s="360"/>
      <c r="C90" s="360"/>
      <c r="D90" s="343"/>
      <c r="E90" s="343"/>
      <c r="F90" s="243"/>
    </row>
    <row r="91" spans="1:6" ht="18" customHeight="1" x14ac:dyDescent="0.2">
      <c r="A91" s="359"/>
      <c r="B91" s="360"/>
      <c r="C91" s="360"/>
      <c r="D91" s="343"/>
      <c r="E91" s="343"/>
      <c r="F91" s="243"/>
    </row>
    <row r="92" spans="1:6" ht="18" customHeight="1" x14ac:dyDescent="0.2">
      <c r="A92" s="359"/>
      <c r="B92" s="360"/>
      <c r="C92" s="360"/>
      <c r="D92" s="343"/>
      <c r="E92" s="343"/>
      <c r="F92" s="243"/>
    </row>
    <row r="93" spans="1:6" ht="18" customHeight="1" x14ac:dyDescent="0.2">
      <c r="A93" s="359"/>
      <c r="B93" s="360"/>
      <c r="C93" s="360"/>
      <c r="D93" s="343"/>
      <c r="E93" s="343"/>
      <c r="F93" s="243"/>
    </row>
    <row r="94" spans="1:6" ht="18" customHeight="1" x14ac:dyDescent="0.2">
      <c r="A94" s="359"/>
      <c r="B94" s="360"/>
      <c r="C94" s="360"/>
      <c r="D94" s="343"/>
      <c r="E94" s="343"/>
      <c r="F94" s="243"/>
    </row>
    <row r="95" spans="1:6" ht="18" customHeight="1" x14ac:dyDescent="0.2">
      <c r="A95" s="359"/>
      <c r="B95" s="360"/>
      <c r="C95" s="360"/>
      <c r="D95" s="343"/>
      <c r="E95" s="343"/>
      <c r="F95" s="243"/>
    </row>
    <row r="96" spans="1:6" ht="18" customHeight="1" x14ac:dyDescent="0.2">
      <c r="A96" s="359"/>
      <c r="B96" s="360"/>
      <c r="C96" s="360"/>
      <c r="D96" s="343"/>
      <c r="E96" s="343"/>
      <c r="F96" s="243"/>
    </row>
    <row r="97" spans="1:6" ht="18" customHeight="1" x14ac:dyDescent="0.2">
      <c r="A97" s="359"/>
      <c r="B97" s="360"/>
      <c r="C97" s="360"/>
      <c r="D97" s="343"/>
      <c r="E97" s="343"/>
      <c r="F97" s="243"/>
    </row>
    <row r="98" spans="1:6" ht="18" customHeight="1" x14ac:dyDescent="0.2">
      <c r="A98" s="359"/>
      <c r="B98" s="360"/>
      <c r="C98" s="360"/>
      <c r="D98" s="343"/>
      <c r="E98" s="343"/>
      <c r="F98" s="243"/>
    </row>
    <row r="99" spans="1:6" ht="18" customHeight="1" x14ac:dyDescent="0.2">
      <c r="A99" s="359"/>
      <c r="B99" s="360"/>
      <c r="C99" s="360"/>
      <c r="D99" s="343"/>
      <c r="E99" s="343"/>
      <c r="F99" s="243"/>
    </row>
    <row r="100" spans="1:6" ht="18" customHeight="1" x14ac:dyDescent="0.2">
      <c r="A100" s="359"/>
      <c r="B100" s="360"/>
      <c r="C100" s="360"/>
      <c r="D100" s="343"/>
      <c r="E100" s="343"/>
      <c r="F100" s="243"/>
    </row>
    <row r="101" spans="1:6" x14ac:dyDescent="0.2">
      <c r="A101" s="243"/>
      <c r="B101" s="243"/>
      <c r="C101" s="243"/>
      <c r="D101" s="243"/>
      <c r="E101" s="243"/>
      <c r="F101" s="243"/>
    </row>
    <row r="102" spans="1:6" x14ac:dyDescent="0.2">
      <c r="A102" s="372" t="s">
        <v>166</v>
      </c>
      <c r="B102" s="372" t="s">
        <v>167</v>
      </c>
      <c r="C102" s="243"/>
      <c r="D102" s="243"/>
      <c r="E102" s="243"/>
      <c r="F102" s="243"/>
    </row>
  </sheetData>
  <hyperlinks>
    <hyperlink ref="B6" r:id="rId1" xr:uid="{00000000-0004-0000-0100-000000000000}"/>
    <hyperlink ref="C6" r:id="rId2" xr:uid="{00000000-0004-0000-0100-000001000000}"/>
    <hyperlink ref="A7" r:id="rId3" xr:uid="{00000000-0004-0000-0100-000002000000}"/>
    <hyperlink ref="B7" r:id="rId4" xr:uid="{00000000-0004-0000-0100-000003000000}"/>
    <hyperlink ref="C7" r:id="rId5" xr:uid="{00000000-0004-0000-0100-000004000000}"/>
    <hyperlink ref="A8" r:id="rId6" xr:uid="{00000000-0004-0000-0100-000005000000}"/>
    <hyperlink ref="B8" r:id="rId7" xr:uid="{00000000-0004-0000-0100-000006000000}"/>
    <hyperlink ref="C8" r:id="rId8" xr:uid="{00000000-0004-0000-0100-000007000000}"/>
    <hyperlink ref="A9" r:id="rId9" xr:uid="{00000000-0004-0000-0100-000008000000}"/>
    <hyperlink ref="B9" r:id="rId10" xr:uid="{00000000-0004-0000-0100-000009000000}"/>
    <hyperlink ref="C9" r:id="rId11" xr:uid="{00000000-0004-0000-0100-00000A000000}"/>
    <hyperlink ref="B10" r:id="rId12" xr:uid="{00000000-0004-0000-0100-00000B000000}"/>
    <hyperlink ref="C10" r:id="rId13" xr:uid="{00000000-0004-0000-0100-00000C000000}"/>
    <hyperlink ref="A13" r:id="rId14" xr:uid="{00000000-0004-0000-0100-00000D000000}"/>
    <hyperlink ref="B13" r:id="rId15" xr:uid="{00000000-0004-0000-0100-00000E000000}"/>
    <hyperlink ref="C13" r:id="rId16" xr:uid="{00000000-0004-0000-0100-00000F000000}"/>
    <hyperlink ref="A14" r:id="rId17" xr:uid="{00000000-0004-0000-0100-000010000000}"/>
    <hyperlink ref="B14" r:id="rId18" xr:uid="{00000000-0004-0000-0100-000011000000}"/>
    <hyperlink ref="C14" r:id="rId19" xr:uid="{00000000-0004-0000-0100-000012000000}"/>
    <hyperlink ref="A15" r:id="rId20" xr:uid="{00000000-0004-0000-0100-000013000000}"/>
    <hyperlink ref="B15" r:id="rId21" xr:uid="{00000000-0004-0000-0100-000014000000}"/>
    <hyperlink ref="C15" r:id="rId22" xr:uid="{00000000-0004-0000-0100-000015000000}"/>
    <hyperlink ref="A16" r:id="rId23" xr:uid="{00000000-0004-0000-0100-000016000000}"/>
    <hyperlink ref="B16" r:id="rId24" xr:uid="{00000000-0004-0000-0100-000017000000}"/>
    <hyperlink ref="C16" r:id="rId25" xr:uid="{00000000-0004-0000-0100-000018000000}"/>
    <hyperlink ref="A17" r:id="rId26" xr:uid="{00000000-0004-0000-0100-000019000000}"/>
    <hyperlink ref="B17" r:id="rId27" xr:uid="{00000000-0004-0000-0100-00001A000000}"/>
    <hyperlink ref="C17" r:id="rId28" xr:uid="{00000000-0004-0000-0100-00001B000000}"/>
    <hyperlink ref="B18" r:id="rId29" xr:uid="{00000000-0004-0000-0100-00001C000000}"/>
    <hyperlink ref="C18" r:id="rId30" xr:uid="{00000000-0004-0000-0100-00001D000000}"/>
    <hyperlink ref="A21" r:id="rId31" xr:uid="{00000000-0004-0000-0100-00001E000000}"/>
    <hyperlink ref="B21" r:id="rId32" xr:uid="{00000000-0004-0000-0100-00001F000000}"/>
    <hyperlink ref="C21" r:id="rId33" xr:uid="{00000000-0004-0000-0100-000020000000}"/>
    <hyperlink ref="A22" r:id="rId34" xr:uid="{00000000-0004-0000-0100-000021000000}"/>
    <hyperlink ref="B22" r:id="rId35" xr:uid="{00000000-0004-0000-0100-000022000000}"/>
    <hyperlink ref="C22" r:id="rId36" xr:uid="{00000000-0004-0000-0100-000023000000}"/>
    <hyperlink ref="A23" r:id="rId37" xr:uid="{00000000-0004-0000-0100-000024000000}"/>
    <hyperlink ref="B23" r:id="rId38" xr:uid="{00000000-0004-0000-0100-000025000000}"/>
    <hyperlink ref="C23" r:id="rId39" xr:uid="{00000000-0004-0000-0100-000026000000}"/>
    <hyperlink ref="B24" r:id="rId40" xr:uid="{00000000-0004-0000-0100-000027000000}"/>
    <hyperlink ref="C24" r:id="rId41" xr:uid="{00000000-0004-0000-0100-000028000000}"/>
    <hyperlink ref="B25" r:id="rId42" xr:uid="{00000000-0004-0000-0100-000029000000}"/>
    <hyperlink ref="C25" r:id="rId43" xr:uid="{00000000-0004-0000-0100-00002A000000}"/>
    <hyperlink ref="A28" r:id="rId44" xr:uid="{00000000-0004-0000-0100-00002B000000}"/>
    <hyperlink ref="B28" r:id="rId45" xr:uid="{00000000-0004-0000-0100-00002C000000}"/>
    <hyperlink ref="C28" r:id="rId46" xr:uid="{00000000-0004-0000-0100-00002D000000}"/>
    <hyperlink ref="A29" r:id="rId47" xr:uid="{00000000-0004-0000-0100-00002E000000}"/>
    <hyperlink ref="B29" r:id="rId48" xr:uid="{00000000-0004-0000-0100-00002F000000}"/>
    <hyperlink ref="C29" r:id="rId49" xr:uid="{00000000-0004-0000-0100-000030000000}"/>
    <hyperlink ref="A30" r:id="rId50" xr:uid="{00000000-0004-0000-0100-000031000000}"/>
    <hyperlink ref="B30" r:id="rId51" xr:uid="{00000000-0004-0000-0100-000032000000}"/>
    <hyperlink ref="C30" r:id="rId52" xr:uid="{00000000-0004-0000-0100-000033000000}"/>
    <hyperlink ref="A31" r:id="rId53" xr:uid="{00000000-0004-0000-0100-000034000000}"/>
    <hyperlink ref="B31" r:id="rId54" xr:uid="{00000000-0004-0000-0100-000035000000}"/>
    <hyperlink ref="C31" r:id="rId55" xr:uid="{00000000-0004-0000-0100-000036000000}"/>
    <hyperlink ref="A32" r:id="rId56" xr:uid="{00000000-0004-0000-0100-000037000000}"/>
    <hyperlink ref="B32" r:id="rId57" xr:uid="{00000000-0004-0000-0100-000038000000}"/>
    <hyperlink ref="C32" r:id="rId58" xr:uid="{00000000-0004-0000-0100-000039000000}"/>
    <hyperlink ref="A33" r:id="rId59" xr:uid="{00000000-0004-0000-0100-00003A000000}"/>
    <hyperlink ref="B33" r:id="rId60" xr:uid="{00000000-0004-0000-0100-00003B000000}"/>
    <hyperlink ref="C33" r:id="rId61" xr:uid="{00000000-0004-0000-0100-00003C000000}"/>
    <hyperlink ref="A34" r:id="rId62" xr:uid="{00000000-0004-0000-0100-00003D000000}"/>
    <hyperlink ref="B34" r:id="rId63" xr:uid="{00000000-0004-0000-0100-00003E000000}"/>
    <hyperlink ref="C34" r:id="rId64" xr:uid="{00000000-0004-0000-0100-00003F000000}"/>
    <hyperlink ref="A35" r:id="rId65" xr:uid="{00000000-0004-0000-0100-000040000000}"/>
    <hyperlink ref="B35" r:id="rId66" xr:uid="{00000000-0004-0000-0100-000041000000}"/>
    <hyperlink ref="C35" r:id="rId67" xr:uid="{00000000-0004-0000-0100-000042000000}"/>
    <hyperlink ref="A36" r:id="rId68" xr:uid="{00000000-0004-0000-0100-000043000000}"/>
    <hyperlink ref="B36" r:id="rId69" xr:uid="{00000000-0004-0000-0100-000044000000}"/>
    <hyperlink ref="C36" r:id="rId70" xr:uid="{00000000-0004-0000-0100-000045000000}"/>
    <hyperlink ref="B37" r:id="rId71" xr:uid="{00000000-0004-0000-0100-000046000000}"/>
    <hyperlink ref="C37" r:id="rId72" xr:uid="{00000000-0004-0000-0100-000047000000}"/>
    <hyperlink ref="B38" r:id="rId73" xr:uid="{00000000-0004-0000-0100-000048000000}"/>
    <hyperlink ref="C38" r:id="rId74" xr:uid="{00000000-0004-0000-0100-000049000000}"/>
    <hyperlink ref="A41" r:id="rId75" xr:uid="{00000000-0004-0000-0100-00004A000000}"/>
    <hyperlink ref="B41" r:id="rId76" xr:uid="{00000000-0004-0000-0100-00004B000000}"/>
    <hyperlink ref="C41" r:id="rId77" xr:uid="{00000000-0004-0000-0100-00004C000000}"/>
    <hyperlink ref="A42" r:id="rId78" xr:uid="{00000000-0004-0000-0100-00004D000000}"/>
    <hyperlink ref="B42" r:id="rId79" xr:uid="{00000000-0004-0000-0100-00004E000000}"/>
    <hyperlink ref="C42" r:id="rId80" xr:uid="{00000000-0004-0000-0100-00004F000000}"/>
    <hyperlink ref="A43" r:id="rId81" xr:uid="{00000000-0004-0000-0100-000050000000}"/>
    <hyperlink ref="B43" r:id="rId82" xr:uid="{00000000-0004-0000-0100-000051000000}"/>
    <hyperlink ref="C43" r:id="rId83" xr:uid="{00000000-0004-0000-0100-000052000000}"/>
    <hyperlink ref="A44" r:id="rId84" xr:uid="{00000000-0004-0000-0100-000053000000}"/>
    <hyperlink ref="B44" r:id="rId85" xr:uid="{00000000-0004-0000-0100-000054000000}"/>
    <hyperlink ref="C44" r:id="rId86" xr:uid="{00000000-0004-0000-0100-000055000000}"/>
    <hyperlink ref="A45" r:id="rId87" xr:uid="{00000000-0004-0000-0100-000056000000}"/>
    <hyperlink ref="B45" r:id="rId88" xr:uid="{00000000-0004-0000-0100-000057000000}"/>
    <hyperlink ref="A46" r:id="rId89" xr:uid="{00000000-0004-0000-0100-000058000000}"/>
    <hyperlink ref="B46" r:id="rId90" xr:uid="{00000000-0004-0000-0100-000059000000}"/>
    <hyperlink ref="A47" r:id="rId91" xr:uid="{00000000-0004-0000-0100-00005A000000}"/>
    <hyperlink ref="B47" r:id="rId92" xr:uid="{00000000-0004-0000-0100-00005B000000}"/>
    <hyperlink ref="A48" r:id="rId93" xr:uid="{00000000-0004-0000-0100-00005C000000}"/>
    <hyperlink ref="B48" r:id="rId94" xr:uid="{00000000-0004-0000-0100-00005D000000}"/>
    <hyperlink ref="A49" r:id="rId95" xr:uid="{00000000-0004-0000-0100-00005E000000}"/>
    <hyperlink ref="B49" r:id="rId96" xr:uid="{00000000-0004-0000-0100-00005F000000}"/>
  </hyperlinks>
  <pageMargins left="0.5" right="0.5" top="0.75" bottom="0.75" header="0.5" footer="0.5"/>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396" customWidth="1"/>
    <col min="2" max="2" width="34.03125" style="396" customWidth="1"/>
    <col min="3" max="3" width="55.01953125" style="396" customWidth="1"/>
    <col min="4" max="4" width="0.53515625" style="396" customWidth="1"/>
  </cols>
  <sheetData>
    <row r="1" spans="1:4" ht="32.1" customHeight="1" x14ac:dyDescent="0.25">
      <c r="A1" s="302"/>
      <c r="B1" s="303" t="s">
        <v>20</v>
      </c>
      <c r="C1" s="302"/>
      <c r="D1" s="302"/>
    </row>
    <row r="2" spans="1:4" ht="21.95" customHeight="1" x14ac:dyDescent="0.2">
      <c r="A2" s="302"/>
      <c r="B2" s="304" t="s">
        <v>2</v>
      </c>
      <c r="C2" s="302"/>
      <c r="D2" s="302"/>
    </row>
    <row r="3" spans="1:4" ht="18" customHeight="1" x14ac:dyDescent="0.2">
      <c r="A3" s="302"/>
      <c r="B3" s="305" t="s">
        <v>10</v>
      </c>
      <c r="C3" s="302"/>
      <c r="D3" s="302"/>
    </row>
    <row r="4" spans="1:4" ht="18" customHeight="1" x14ac:dyDescent="0.2">
      <c r="A4" s="302"/>
      <c r="B4" s="306" t="s">
        <v>168</v>
      </c>
      <c r="C4" s="302"/>
      <c r="D4" s="302"/>
    </row>
    <row r="5" spans="1:4" ht="26.1" customHeight="1" x14ac:dyDescent="0.2">
      <c r="A5" s="307" t="s">
        <v>22</v>
      </c>
      <c r="B5" s="307" t="s">
        <v>23</v>
      </c>
      <c r="C5" s="307" t="s">
        <v>24</v>
      </c>
      <c r="D5" s="302"/>
    </row>
    <row r="6" spans="1:4" ht="24" customHeight="1" x14ac:dyDescent="0.2">
      <c r="A6" s="308"/>
      <c r="B6" s="309" t="s">
        <v>25</v>
      </c>
      <c r="C6" s="308"/>
      <c r="D6" s="302"/>
    </row>
    <row r="7" spans="1:4" ht="20.100000000000001" customHeight="1" x14ac:dyDescent="0.2">
      <c r="A7" s="310" t="s">
        <v>27</v>
      </c>
      <c r="B7" s="311" t="s">
        <v>169</v>
      </c>
      <c r="C7" s="312" t="s">
        <v>29</v>
      </c>
      <c r="D7" s="302"/>
    </row>
    <row r="8" spans="1:4" ht="20.100000000000001" customHeight="1" x14ac:dyDescent="0.2">
      <c r="A8" s="313" t="s">
        <v>30</v>
      </c>
      <c r="B8" s="314" t="s">
        <v>170</v>
      </c>
      <c r="C8" s="315" t="s">
        <v>32</v>
      </c>
      <c r="D8" s="302"/>
    </row>
    <row r="9" spans="1:4" ht="20.100000000000001" customHeight="1" x14ac:dyDescent="0.2">
      <c r="A9" s="310" t="s">
        <v>33</v>
      </c>
      <c r="B9" s="311" t="s">
        <v>171</v>
      </c>
      <c r="C9" s="312" t="s">
        <v>35</v>
      </c>
      <c r="D9" s="302"/>
    </row>
    <row r="10" spans="1:4" ht="20.100000000000001" customHeight="1" x14ac:dyDescent="0.2">
      <c r="A10" s="313" t="s">
        <v>36</v>
      </c>
      <c r="B10" s="314" t="s">
        <v>172</v>
      </c>
      <c r="C10" s="315" t="s">
        <v>38</v>
      </c>
      <c r="D10" s="302"/>
    </row>
    <row r="11" spans="1:4" ht="24" customHeight="1" x14ac:dyDescent="0.2">
      <c r="A11" s="308"/>
      <c r="B11" s="309" t="s">
        <v>57</v>
      </c>
      <c r="C11" s="308"/>
      <c r="D11" s="302"/>
    </row>
    <row r="12" spans="1:4" ht="20.100000000000001" customHeight="1" x14ac:dyDescent="0.2">
      <c r="A12" s="310" t="s">
        <v>58</v>
      </c>
      <c r="B12" s="311" t="s">
        <v>173</v>
      </c>
      <c r="C12" s="312" t="s">
        <v>174</v>
      </c>
      <c r="D12" s="302"/>
    </row>
    <row r="13" spans="1:4" ht="20.100000000000001" customHeight="1" x14ac:dyDescent="0.2">
      <c r="A13" s="313" t="s">
        <v>61</v>
      </c>
      <c r="B13" s="314" t="s">
        <v>175</v>
      </c>
      <c r="C13" s="315" t="s">
        <v>176</v>
      </c>
      <c r="D13" s="302"/>
    </row>
    <row r="14" spans="1:4" ht="20.100000000000001" customHeight="1" x14ac:dyDescent="0.2">
      <c r="A14" s="310" t="s">
        <v>64</v>
      </c>
      <c r="B14" s="311" t="s">
        <v>177</v>
      </c>
      <c r="C14" s="312" t="s">
        <v>60</v>
      </c>
      <c r="D14" s="302"/>
    </row>
    <row r="15" spans="1:4" ht="20.100000000000001" customHeight="1" x14ac:dyDescent="0.2">
      <c r="A15" s="313" t="s">
        <v>67</v>
      </c>
      <c r="B15" s="314" t="s">
        <v>178</v>
      </c>
      <c r="C15" s="315" t="s">
        <v>179</v>
      </c>
      <c r="D15" s="302"/>
    </row>
    <row r="16" spans="1:4" ht="20.100000000000001" customHeight="1" x14ac:dyDescent="0.2">
      <c r="A16" s="310" t="s">
        <v>70</v>
      </c>
      <c r="B16" s="311" t="s">
        <v>180</v>
      </c>
      <c r="C16" s="312" t="s">
        <v>181</v>
      </c>
      <c r="D16" s="302"/>
    </row>
    <row r="17" spans="1:4" ht="20.100000000000001" customHeight="1" x14ac:dyDescent="0.2">
      <c r="A17" s="313" t="s">
        <v>182</v>
      </c>
      <c r="B17" s="314" t="s">
        <v>183</v>
      </c>
      <c r="C17" s="315" t="s">
        <v>184</v>
      </c>
      <c r="D17" s="302"/>
    </row>
    <row r="18" spans="1:4" ht="24" customHeight="1" x14ac:dyDescent="0.2">
      <c r="A18" s="308"/>
      <c r="B18" s="309" t="s">
        <v>73</v>
      </c>
      <c r="C18" s="308"/>
      <c r="D18" s="302"/>
    </row>
    <row r="19" spans="1:4" ht="20.100000000000001" customHeight="1" x14ac:dyDescent="0.2">
      <c r="A19" s="310" t="s">
        <v>74</v>
      </c>
      <c r="B19" s="311" t="s">
        <v>185</v>
      </c>
      <c r="C19" s="312" t="s">
        <v>186</v>
      </c>
      <c r="D19" s="302"/>
    </row>
    <row r="20" spans="1:4" ht="20.100000000000001" customHeight="1" x14ac:dyDescent="0.2">
      <c r="A20" s="313" t="s">
        <v>77</v>
      </c>
      <c r="B20" s="314" t="s">
        <v>187</v>
      </c>
      <c r="C20" s="315" t="s">
        <v>188</v>
      </c>
      <c r="D20" s="302"/>
    </row>
    <row r="21" spans="1:4" ht="20.100000000000001" customHeight="1" x14ac:dyDescent="0.2">
      <c r="A21" s="310" t="s">
        <v>80</v>
      </c>
      <c r="B21" s="311" t="s">
        <v>189</v>
      </c>
      <c r="C21" s="312" t="s">
        <v>190</v>
      </c>
      <c r="D21" s="302"/>
    </row>
    <row r="22" spans="1:4" ht="20.100000000000001" customHeight="1" x14ac:dyDescent="0.2">
      <c r="A22" s="313" t="s">
        <v>83</v>
      </c>
      <c r="B22" s="314" t="s">
        <v>191</v>
      </c>
      <c r="C22" s="315" t="s">
        <v>192</v>
      </c>
      <c r="D22" s="302"/>
    </row>
    <row r="23" spans="1:4" ht="20.100000000000001" customHeight="1" x14ac:dyDescent="0.2">
      <c r="A23" s="310" t="s">
        <v>86</v>
      </c>
      <c r="B23" s="311" t="s">
        <v>193</v>
      </c>
      <c r="C23" s="312" t="s">
        <v>194</v>
      </c>
      <c r="D23" s="302"/>
    </row>
    <row r="24" spans="1:4" ht="24" customHeight="1" x14ac:dyDescent="0.2">
      <c r="A24" s="308"/>
      <c r="B24" s="309" t="s">
        <v>92</v>
      </c>
      <c r="C24" s="308"/>
      <c r="D24" s="302"/>
    </row>
    <row r="25" spans="1:4" ht="20.100000000000001" customHeight="1" x14ac:dyDescent="0.2">
      <c r="A25" s="310" t="s">
        <v>93</v>
      </c>
      <c r="B25" s="311" t="s">
        <v>195</v>
      </c>
      <c r="C25" s="312" t="s">
        <v>196</v>
      </c>
      <c r="D25" s="302"/>
    </row>
    <row r="26" spans="1:4" ht="20.100000000000001" customHeight="1" x14ac:dyDescent="0.2">
      <c r="A26" s="313" t="s">
        <v>96</v>
      </c>
      <c r="B26" s="314" t="s">
        <v>197</v>
      </c>
      <c r="C26" s="315" t="s">
        <v>198</v>
      </c>
      <c r="D26" s="302"/>
    </row>
    <row r="27" spans="1:4" ht="20.100000000000001" customHeight="1" x14ac:dyDescent="0.2">
      <c r="A27" s="310" t="s">
        <v>99</v>
      </c>
      <c r="B27" s="311" t="s">
        <v>199</v>
      </c>
      <c r="C27" s="312" t="s">
        <v>200</v>
      </c>
      <c r="D27" s="302"/>
    </row>
    <row r="28" spans="1:4" ht="20.100000000000001" customHeight="1" x14ac:dyDescent="0.2">
      <c r="A28" s="313" t="s">
        <v>102</v>
      </c>
      <c r="B28" s="314" t="s">
        <v>201</v>
      </c>
      <c r="C28" s="315" t="s">
        <v>202</v>
      </c>
      <c r="D28" s="302"/>
    </row>
    <row r="29" spans="1:4" ht="20.100000000000001" customHeight="1" x14ac:dyDescent="0.2">
      <c r="A29" s="310" t="s">
        <v>105</v>
      </c>
      <c r="B29" s="311" t="s">
        <v>203</v>
      </c>
      <c r="C29" s="312" t="s">
        <v>204</v>
      </c>
      <c r="D29" s="302"/>
    </row>
    <row r="30" spans="1:4" ht="20.100000000000001" customHeight="1" x14ac:dyDescent="0.2">
      <c r="A30" s="313" t="s">
        <v>108</v>
      </c>
      <c r="B30" s="314" t="s">
        <v>205</v>
      </c>
      <c r="C30" s="315" t="s">
        <v>76</v>
      </c>
      <c r="D30" s="302"/>
    </row>
    <row r="31" spans="1:4" ht="20.100000000000001" customHeight="1" x14ac:dyDescent="0.2">
      <c r="A31" s="310" t="s">
        <v>111</v>
      </c>
      <c r="B31" s="311" t="s">
        <v>206</v>
      </c>
      <c r="C31" s="312" t="s">
        <v>207</v>
      </c>
      <c r="D31" s="302"/>
    </row>
    <row r="32" spans="1:4" ht="20.100000000000001" customHeight="1" x14ac:dyDescent="0.2">
      <c r="A32" s="313" t="s">
        <v>114</v>
      </c>
      <c r="B32" s="314" t="s">
        <v>208</v>
      </c>
      <c r="C32" s="315" t="s">
        <v>209</v>
      </c>
      <c r="D32" s="302"/>
    </row>
    <row r="33" spans="1:4" ht="20.100000000000001" customHeight="1" x14ac:dyDescent="0.2">
      <c r="A33" s="310" t="s">
        <v>210</v>
      </c>
      <c r="B33" s="311" t="s">
        <v>211</v>
      </c>
      <c r="C33" s="312" t="s">
        <v>212</v>
      </c>
      <c r="D33" s="302"/>
    </row>
    <row r="34" spans="1:4" ht="20.100000000000001" customHeight="1" x14ac:dyDescent="0.2">
      <c r="A34" s="313" t="s">
        <v>213</v>
      </c>
      <c r="B34" s="314" t="s">
        <v>214</v>
      </c>
      <c r="C34" s="315" t="s">
        <v>215</v>
      </c>
      <c r="D34" s="302"/>
    </row>
    <row r="35" spans="1:4" ht="20.100000000000001" customHeight="1" x14ac:dyDescent="0.2">
      <c r="A35" s="310" t="s">
        <v>216</v>
      </c>
      <c r="B35" s="311" t="s">
        <v>217</v>
      </c>
      <c r="C35" s="312" t="s">
        <v>218</v>
      </c>
      <c r="D35" s="302"/>
    </row>
    <row r="36" spans="1:4" ht="24" customHeight="1" x14ac:dyDescent="0.2">
      <c r="A36" s="308"/>
      <c r="B36" s="309" t="s">
        <v>117</v>
      </c>
      <c r="C36" s="308"/>
      <c r="D36" s="302"/>
    </row>
    <row r="37" spans="1:4" ht="20.100000000000001" customHeight="1" x14ac:dyDescent="0.2">
      <c r="A37" s="310" t="s">
        <v>118</v>
      </c>
      <c r="B37" s="311" t="s">
        <v>219</v>
      </c>
      <c r="C37" s="312" t="s">
        <v>220</v>
      </c>
      <c r="D37" s="302"/>
    </row>
    <row r="38" spans="1:4" ht="20.100000000000001" customHeight="1" x14ac:dyDescent="0.2">
      <c r="A38" s="313" t="s">
        <v>121</v>
      </c>
      <c r="B38" s="314" t="s">
        <v>221</v>
      </c>
      <c r="C38" s="315" t="s">
        <v>222</v>
      </c>
      <c r="D38" s="302"/>
    </row>
    <row r="39" spans="1:4" ht="20.100000000000001" customHeight="1" x14ac:dyDescent="0.2">
      <c r="A39" s="310" t="s">
        <v>124</v>
      </c>
      <c r="B39" s="311" t="s">
        <v>223</v>
      </c>
      <c r="C39" s="312" t="s">
        <v>224</v>
      </c>
      <c r="D39" s="302"/>
    </row>
    <row r="40" spans="1:4" ht="20.100000000000001" customHeight="1" x14ac:dyDescent="0.2">
      <c r="A40" s="313" t="s">
        <v>127</v>
      </c>
      <c r="B40" s="314" t="s">
        <v>119</v>
      </c>
      <c r="C40" s="315" t="s">
        <v>225</v>
      </c>
      <c r="D40" s="302"/>
    </row>
    <row r="41" spans="1:4" ht="20.100000000000001" customHeight="1" x14ac:dyDescent="0.2">
      <c r="A41" s="310" t="s">
        <v>130</v>
      </c>
      <c r="B41" s="311" t="s">
        <v>122</v>
      </c>
      <c r="C41" s="312" t="s">
        <v>226</v>
      </c>
      <c r="D41" s="302"/>
    </row>
    <row r="42" spans="1:4" ht="20.100000000000001" customHeight="1" x14ac:dyDescent="0.2">
      <c r="A42" s="313" t="s">
        <v>133</v>
      </c>
      <c r="B42" s="314" t="s">
        <v>125</v>
      </c>
      <c r="C42" s="315" t="s">
        <v>227</v>
      </c>
      <c r="D42" s="302"/>
    </row>
    <row r="43" spans="1:4" ht="20.100000000000001" customHeight="1" x14ac:dyDescent="0.2">
      <c r="A43" s="310" t="s">
        <v>136</v>
      </c>
      <c r="B43" s="311" t="s">
        <v>128</v>
      </c>
      <c r="C43" s="312" t="s">
        <v>129</v>
      </c>
      <c r="D43" s="302"/>
    </row>
    <row r="44" spans="1:4" ht="20.100000000000001" customHeight="1" x14ac:dyDescent="0.2">
      <c r="A44" s="313" t="s">
        <v>139</v>
      </c>
      <c r="B44" s="314" t="s">
        <v>131</v>
      </c>
      <c r="C44" s="315" t="s">
        <v>132</v>
      </c>
      <c r="D44" s="302"/>
    </row>
    <row r="45" spans="1:4" ht="20.100000000000001" customHeight="1" x14ac:dyDescent="0.2">
      <c r="A45" s="310" t="s">
        <v>142</v>
      </c>
      <c r="B45" s="311" t="s">
        <v>134</v>
      </c>
      <c r="C45" s="312" t="s">
        <v>135</v>
      </c>
      <c r="D45" s="302"/>
    </row>
    <row r="46" spans="1:4" ht="20.100000000000001" customHeight="1" x14ac:dyDescent="0.2">
      <c r="A46" s="313" t="s">
        <v>145</v>
      </c>
      <c r="B46" s="314" t="s">
        <v>137</v>
      </c>
      <c r="C46" s="315" t="s">
        <v>138</v>
      </c>
      <c r="D46" s="302"/>
    </row>
    <row r="47" spans="1:4" ht="20.100000000000001" customHeight="1" x14ac:dyDescent="0.2">
      <c r="A47" s="310" t="s">
        <v>148</v>
      </c>
      <c r="B47" s="311" t="s">
        <v>140</v>
      </c>
      <c r="C47" s="312" t="s">
        <v>141</v>
      </c>
      <c r="D47" s="302"/>
    </row>
    <row r="48" spans="1:4" ht="20.100000000000001" customHeight="1" x14ac:dyDescent="0.2">
      <c r="A48" s="313" t="s">
        <v>151</v>
      </c>
      <c r="B48" s="314" t="s">
        <v>143</v>
      </c>
      <c r="C48" s="315" t="s">
        <v>144</v>
      </c>
      <c r="D48" s="302"/>
    </row>
    <row r="49" spans="1:4" ht="20.100000000000001" customHeight="1" x14ac:dyDescent="0.2">
      <c r="A49" s="310" t="s">
        <v>154</v>
      </c>
      <c r="B49" s="311" t="s">
        <v>146</v>
      </c>
      <c r="C49" s="312" t="s">
        <v>228</v>
      </c>
      <c r="D49" s="302"/>
    </row>
    <row r="50" spans="1:4" ht="20.100000000000001" customHeight="1" x14ac:dyDescent="0.2">
      <c r="A50" s="313" t="s">
        <v>229</v>
      </c>
      <c r="B50" s="314" t="s">
        <v>149</v>
      </c>
      <c r="C50" s="315" t="s">
        <v>230</v>
      </c>
      <c r="D50" s="302"/>
    </row>
    <row r="51" spans="1:4" ht="20.100000000000001" customHeight="1" x14ac:dyDescent="0.2">
      <c r="A51" s="310" t="s">
        <v>231</v>
      </c>
      <c r="B51" s="311" t="s">
        <v>152</v>
      </c>
      <c r="C51" s="312" t="s">
        <v>153</v>
      </c>
      <c r="D51" s="302"/>
    </row>
    <row r="52" spans="1:4" ht="20.100000000000001" customHeight="1" x14ac:dyDescent="0.2">
      <c r="A52" s="313" t="s">
        <v>232</v>
      </c>
      <c r="B52" s="314" t="s">
        <v>233</v>
      </c>
      <c r="C52" s="315" t="s">
        <v>234</v>
      </c>
      <c r="D52" s="302"/>
    </row>
    <row r="53" spans="1:4" ht="20.100000000000001" customHeight="1" x14ac:dyDescent="0.2">
      <c r="A53" s="310" t="s">
        <v>235</v>
      </c>
      <c r="B53" s="311" t="s">
        <v>236</v>
      </c>
      <c r="C53" s="312" t="s">
        <v>237</v>
      </c>
      <c r="D53" s="302"/>
    </row>
    <row r="54" spans="1:4" x14ac:dyDescent="0.2">
      <c r="A54" s="302"/>
      <c r="B54" s="302"/>
      <c r="C54" s="302"/>
      <c r="D54" s="302"/>
    </row>
    <row r="55" spans="1:4" x14ac:dyDescent="0.2">
      <c r="A55" s="302"/>
      <c r="B55" s="316" t="s">
        <v>157</v>
      </c>
      <c r="C55" s="302"/>
      <c r="D55" s="302"/>
    </row>
    <row r="56" spans="1:4" ht="18" customHeight="1" x14ac:dyDescent="0.2">
      <c r="A56" s="302"/>
      <c r="B56" s="317" t="s">
        <v>158</v>
      </c>
      <c r="C56" s="318" t="s">
        <v>238</v>
      </c>
      <c r="D56" s="302"/>
    </row>
    <row r="57" spans="1:4" ht="18" customHeight="1" x14ac:dyDescent="0.2">
      <c r="A57" s="302"/>
      <c r="B57" s="317" t="s">
        <v>160</v>
      </c>
      <c r="C57" s="318" t="s">
        <v>239</v>
      </c>
      <c r="D57" s="302"/>
    </row>
    <row r="58" spans="1:4" ht="18" customHeight="1" x14ac:dyDescent="0.2">
      <c r="A58" s="302"/>
      <c r="B58" s="317" t="s">
        <v>162</v>
      </c>
      <c r="C58" s="318" t="s">
        <v>240</v>
      </c>
      <c r="D58" s="302"/>
    </row>
    <row r="59" spans="1:4" x14ac:dyDescent="0.2">
      <c r="A59" s="302"/>
      <c r="B59" s="302"/>
      <c r="C59" s="302"/>
      <c r="D59" s="302"/>
    </row>
    <row r="60" spans="1:4" ht="30" customHeight="1" x14ac:dyDescent="0.2">
      <c r="A60" s="302"/>
      <c r="B60" s="433" t="s">
        <v>241</v>
      </c>
      <c r="C60" s="416"/>
      <c r="D60" s="302"/>
    </row>
    <row r="61" spans="1:4" x14ac:dyDescent="0.2">
      <c r="A61" s="302"/>
      <c r="B61" s="302"/>
      <c r="C61" s="302"/>
      <c r="D61" s="302"/>
    </row>
    <row r="62" spans="1:4" x14ac:dyDescent="0.2">
      <c r="A62" s="302"/>
      <c r="B62" s="302"/>
      <c r="C62" s="302"/>
      <c r="D62" s="302"/>
    </row>
    <row r="63" spans="1:4" x14ac:dyDescent="0.2">
      <c r="A63" s="302"/>
      <c r="B63" s="302"/>
      <c r="C63" s="302"/>
      <c r="D63" s="302"/>
    </row>
    <row r="64" spans="1:4" x14ac:dyDescent="0.2">
      <c r="A64" s="302"/>
      <c r="B64" s="302"/>
      <c r="C64" s="302"/>
      <c r="D64" s="302"/>
    </row>
    <row r="65" spans="1:4" x14ac:dyDescent="0.2">
      <c r="A65" s="302"/>
      <c r="B65" s="302"/>
      <c r="C65" s="302"/>
      <c r="D65" s="302"/>
    </row>
    <row r="66" spans="1:4" x14ac:dyDescent="0.2">
      <c r="A66" s="302"/>
      <c r="B66" s="302"/>
      <c r="C66" s="302"/>
      <c r="D66" s="302"/>
    </row>
    <row r="67" spans="1:4" x14ac:dyDescent="0.2">
      <c r="A67" s="302"/>
      <c r="B67" s="302"/>
      <c r="C67" s="302"/>
      <c r="D67" s="302"/>
    </row>
    <row r="68" spans="1:4" x14ac:dyDescent="0.2">
      <c r="A68" s="302"/>
      <c r="B68" s="302"/>
      <c r="C68" s="302"/>
      <c r="D68" s="302"/>
    </row>
    <row r="69" spans="1:4" x14ac:dyDescent="0.2">
      <c r="A69" s="302"/>
      <c r="B69" s="302"/>
      <c r="C69" s="302"/>
      <c r="D69" s="302"/>
    </row>
    <row r="70" spans="1:4" x14ac:dyDescent="0.2">
      <c r="A70" s="302"/>
      <c r="B70" s="302"/>
      <c r="C70" s="302"/>
      <c r="D70" s="302"/>
    </row>
    <row r="71" spans="1:4" x14ac:dyDescent="0.2">
      <c r="A71" s="302"/>
      <c r="B71" s="302"/>
      <c r="C71" s="302"/>
      <c r="D71" s="302"/>
    </row>
    <row r="72" spans="1:4" x14ac:dyDescent="0.2">
      <c r="A72" s="302"/>
      <c r="B72" s="302"/>
      <c r="C72" s="302"/>
      <c r="D72" s="302"/>
    </row>
    <row r="73" spans="1:4" x14ac:dyDescent="0.2">
      <c r="A73" s="302"/>
      <c r="B73" s="302"/>
      <c r="C73" s="302"/>
      <c r="D73" s="302"/>
    </row>
    <row r="74" spans="1:4" x14ac:dyDescent="0.2">
      <c r="A74" s="302"/>
      <c r="B74" s="302"/>
      <c r="C74" s="302"/>
      <c r="D74" s="302"/>
    </row>
    <row r="75" spans="1:4" x14ac:dyDescent="0.2">
      <c r="A75" s="302"/>
      <c r="B75" s="302"/>
      <c r="C75" s="302"/>
      <c r="D75" s="302"/>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0"/>
  <sheetViews>
    <sheetView workbookViewId="0"/>
  </sheetViews>
  <sheetFormatPr defaultRowHeight="15" x14ac:dyDescent="0.2"/>
  <cols>
    <col min="1" max="1" width="11.97265625" style="396" customWidth="1"/>
    <col min="2" max="2" width="29.99609375" style="396" customWidth="1"/>
    <col min="3" max="3" width="22.05859375" style="396" customWidth="1"/>
    <col min="4" max="4" width="29.99609375" style="396" customWidth="1"/>
    <col min="5" max="5" width="27.98046875" style="396" customWidth="1"/>
    <col min="6" max="6" width="20.04296875" style="396" customWidth="1"/>
    <col min="7" max="7" width="50.04296875" style="396" customWidth="1"/>
  </cols>
  <sheetData>
    <row r="1" spans="1:4" ht="20.100000000000001" customHeight="1" x14ac:dyDescent="0.2">
      <c r="A1" s="291" t="s">
        <v>242</v>
      </c>
    </row>
    <row r="2" spans="1:4" x14ac:dyDescent="0.2">
      <c r="A2" s="292" t="s">
        <v>243</v>
      </c>
    </row>
    <row r="3" spans="1:4" x14ac:dyDescent="0.2">
      <c r="A3" s="298" t="s">
        <v>244</v>
      </c>
    </row>
    <row r="4" spans="1:4" x14ac:dyDescent="0.2">
      <c r="A4" s="290" t="s">
        <v>245</v>
      </c>
      <c r="B4" t="s">
        <v>246</v>
      </c>
    </row>
    <row r="5" spans="1:4" x14ac:dyDescent="0.2">
      <c r="A5" s="290" t="s">
        <v>247</v>
      </c>
      <c r="B5" t="s">
        <v>10</v>
      </c>
    </row>
    <row r="6" spans="1:4" x14ac:dyDescent="0.2">
      <c r="A6" s="290" t="s">
        <v>248</v>
      </c>
      <c r="B6" t="s">
        <v>249</v>
      </c>
    </row>
    <row r="8" spans="1:4" x14ac:dyDescent="0.2">
      <c r="A8" s="299" t="s">
        <v>250</v>
      </c>
    </row>
    <row r="9" spans="1:4" ht="20.100000000000001" customHeight="1" x14ac:dyDescent="0.2">
      <c r="A9" s="294" t="s">
        <v>251</v>
      </c>
      <c r="B9" s="294" t="s">
        <v>252</v>
      </c>
      <c r="C9" s="294" t="s">
        <v>253</v>
      </c>
      <c r="D9" s="294" t="s">
        <v>254</v>
      </c>
    </row>
    <row r="10" spans="1:4" ht="24.95" customHeight="1" x14ac:dyDescent="0.2">
      <c r="A10" s="295" t="s">
        <v>255</v>
      </c>
      <c r="B10" s="295" t="s">
        <v>256</v>
      </c>
      <c r="C10" s="295" t="s">
        <v>257</v>
      </c>
      <c r="D10" s="295" t="s">
        <v>258</v>
      </c>
    </row>
    <row r="11" spans="1:4" ht="24.95" customHeight="1" x14ac:dyDescent="0.2">
      <c r="A11" s="295" t="s">
        <v>259</v>
      </c>
      <c r="B11" s="295" t="s">
        <v>260</v>
      </c>
      <c r="C11" s="295" t="s">
        <v>261</v>
      </c>
      <c r="D11" s="295" t="s">
        <v>262</v>
      </c>
    </row>
    <row r="12" spans="1:4" ht="24.95" customHeight="1" x14ac:dyDescent="0.2">
      <c r="A12" s="295" t="s">
        <v>263</v>
      </c>
      <c r="B12" s="295" t="s">
        <v>246</v>
      </c>
      <c r="C12" s="295" t="s">
        <v>264</v>
      </c>
      <c r="D12" s="295" t="s">
        <v>265</v>
      </c>
    </row>
    <row r="13" spans="1:4" ht="24.95" customHeight="1" x14ac:dyDescent="0.2">
      <c r="A13" s="295" t="s">
        <v>266</v>
      </c>
      <c r="B13" s="295" t="s">
        <v>246</v>
      </c>
      <c r="C13" s="295" t="s">
        <v>267</v>
      </c>
      <c r="D13" s="295" t="s">
        <v>268</v>
      </c>
    </row>
    <row r="15" spans="1:4" x14ac:dyDescent="0.2">
      <c r="A15" s="299" t="s">
        <v>269</v>
      </c>
    </row>
    <row r="16" spans="1:4" ht="20.100000000000001" customHeight="1" x14ac:dyDescent="0.2">
      <c r="A16" s="294" t="s">
        <v>270</v>
      </c>
      <c r="B16" s="294" t="s">
        <v>252</v>
      </c>
      <c r="C16" s="294" t="s">
        <v>271</v>
      </c>
      <c r="D16" s="294" t="s">
        <v>254</v>
      </c>
    </row>
    <row r="17" spans="1:7" ht="20.100000000000001" customHeight="1" x14ac:dyDescent="0.2">
      <c r="A17" s="295" t="s">
        <v>272</v>
      </c>
      <c r="B17" s="295" t="s">
        <v>273</v>
      </c>
      <c r="C17" s="295" t="s">
        <v>274</v>
      </c>
      <c r="D17" s="295" t="s">
        <v>275</v>
      </c>
    </row>
    <row r="18" spans="1:7" ht="20.100000000000001" customHeight="1" x14ac:dyDescent="0.2">
      <c r="A18" s="295" t="s">
        <v>276</v>
      </c>
      <c r="B18" s="295" t="s">
        <v>260</v>
      </c>
      <c r="C18" s="295" t="s">
        <v>277</v>
      </c>
      <c r="D18" s="295" t="s">
        <v>278</v>
      </c>
    </row>
    <row r="19" spans="1:7" ht="20.100000000000001" customHeight="1" x14ac:dyDescent="0.2">
      <c r="A19" s="295" t="s">
        <v>279</v>
      </c>
      <c r="B19" s="295" t="s">
        <v>246</v>
      </c>
      <c r="C19" s="295" t="s">
        <v>280</v>
      </c>
      <c r="D19" s="295" t="s">
        <v>281</v>
      </c>
    </row>
    <row r="20" spans="1:7" ht="18" customHeight="1" x14ac:dyDescent="0.2"/>
    <row r="21" spans="1:7" ht="18" customHeight="1" x14ac:dyDescent="0.2">
      <c r="A21" s="299" t="s">
        <v>282</v>
      </c>
    </row>
    <row r="22" spans="1:7" ht="18" customHeight="1" x14ac:dyDescent="0.2">
      <c r="A22" s="294" t="s">
        <v>283</v>
      </c>
      <c r="B22" s="294" t="s">
        <v>284</v>
      </c>
      <c r="C22" s="294" t="s">
        <v>285</v>
      </c>
      <c r="D22" s="294" t="s">
        <v>286</v>
      </c>
      <c r="E22" s="294" t="s">
        <v>287</v>
      </c>
      <c r="F22" s="294" t="s">
        <v>288</v>
      </c>
      <c r="G22" s="294" t="s">
        <v>289</v>
      </c>
    </row>
    <row r="23" spans="1:7" ht="18" customHeight="1" x14ac:dyDescent="0.2">
      <c r="A23" s="295">
        <v>1</v>
      </c>
      <c r="B23" s="295" t="s">
        <v>28</v>
      </c>
      <c r="C23" s="295" t="s">
        <v>27</v>
      </c>
      <c r="D23" s="295" t="s">
        <v>169</v>
      </c>
      <c r="E23" s="295" t="s">
        <v>290</v>
      </c>
      <c r="F23" s="295" t="s">
        <v>291</v>
      </c>
      <c r="G23" s="295"/>
    </row>
    <row r="24" spans="1:7" ht="18" customHeight="1" x14ac:dyDescent="0.2">
      <c r="A24" s="295">
        <v>2</v>
      </c>
      <c r="B24" s="295" t="s">
        <v>31</v>
      </c>
      <c r="C24" s="295" t="s">
        <v>30</v>
      </c>
      <c r="D24" s="295" t="s">
        <v>170</v>
      </c>
      <c r="E24" s="295" t="s">
        <v>290</v>
      </c>
      <c r="F24" s="295" t="s">
        <v>291</v>
      </c>
      <c r="G24" s="295"/>
    </row>
    <row r="25" spans="1:7" ht="18" customHeight="1" x14ac:dyDescent="0.2">
      <c r="A25" s="295">
        <v>3</v>
      </c>
      <c r="B25" s="295" t="s">
        <v>34</v>
      </c>
      <c r="C25" s="295" t="s">
        <v>33</v>
      </c>
      <c r="D25" s="295" t="s">
        <v>171</v>
      </c>
      <c r="E25" s="295" t="s">
        <v>290</v>
      </c>
      <c r="F25" s="295" t="s">
        <v>291</v>
      </c>
      <c r="G25" s="295"/>
    </row>
    <row r="26" spans="1:7" ht="18" customHeight="1" x14ac:dyDescent="0.2">
      <c r="A26" s="295">
        <v>4</v>
      </c>
      <c r="B26" s="295" t="s">
        <v>37</v>
      </c>
      <c r="C26" s="295" t="s">
        <v>36</v>
      </c>
      <c r="D26" s="295" t="s">
        <v>172</v>
      </c>
      <c r="E26" s="295" t="s">
        <v>290</v>
      </c>
      <c r="F26" s="295" t="s">
        <v>291</v>
      </c>
      <c r="G26" s="295"/>
    </row>
    <row r="27" spans="1:7" ht="18" customHeight="1" x14ac:dyDescent="0.2">
      <c r="A27" s="295">
        <v>5</v>
      </c>
      <c r="B27" s="295" t="s">
        <v>40</v>
      </c>
      <c r="C27" s="295" t="s">
        <v>58</v>
      </c>
      <c r="D27" s="295" t="s">
        <v>40</v>
      </c>
      <c r="E27" s="295" t="s">
        <v>292</v>
      </c>
      <c r="F27" s="295" t="s">
        <v>293</v>
      </c>
      <c r="G27" s="295"/>
    </row>
    <row r="28" spans="1:7" ht="18" customHeight="1" x14ac:dyDescent="0.2">
      <c r="A28" s="295">
        <v>6</v>
      </c>
      <c r="B28" s="295" t="s">
        <v>43</v>
      </c>
      <c r="C28" s="295" t="s">
        <v>61</v>
      </c>
      <c r="D28" s="295" t="s">
        <v>43</v>
      </c>
      <c r="E28" s="295" t="s">
        <v>292</v>
      </c>
      <c r="F28" s="295" t="s">
        <v>293</v>
      </c>
      <c r="G28" s="295"/>
    </row>
    <row r="29" spans="1:7" ht="18" customHeight="1" x14ac:dyDescent="0.2">
      <c r="A29" s="295">
        <v>7</v>
      </c>
      <c r="B29" s="295" t="s">
        <v>46</v>
      </c>
      <c r="C29" s="295" t="s">
        <v>64</v>
      </c>
      <c r="D29" s="295" t="s">
        <v>46</v>
      </c>
      <c r="E29" s="295" t="s">
        <v>292</v>
      </c>
      <c r="F29" s="295" t="s">
        <v>293</v>
      </c>
      <c r="G29" s="295"/>
    </row>
    <row r="30" spans="1:7" ht="18" customHeight="1" x14ac:dyDescent="0.2">
      <c r="A30" s="295">
        <v>8</v>
      </c>
      <c r="B30" s="295" t="s">
        <v>49</v>
      </c>
      <c r="C30" s="295" t="s">
        <v>67</v>
      </c>
      <c r="D30" s="295" t="s">
        <v>49</v>
      </c>
      <c r="E30" s="295" t="s">
        <v>292</v>
      </c>
      <c r="F30" s="295" t="s">
        <v>293</v>
      </c>
      <c r="G30" s="295"/>
    </row>
    <row r="31" spans="1:7" ht="18" customHeight="1" x14ac:dyDescent="0.2">
      <c r="A31" s="295">
        <v>9</v>
      </c>
      <c r="B31" s="295" t="s">
        <v>52</v>
      </c>
      <c r="C31" s="295" t="s">
        <v>70</v>
      </c>
      <c r="D31" s="295" t="s">
        <v>52</v>
      </c>
      <c r="E31" s="295" t="s">
        <v>292</v>
      </c>
      <c r="F31" s="295" t="s">
        <v>293</v>
      </c>
      <c r="G31" s="295"/>
    </row>
    <row r="32" spans="1:7" ht="18" customHeight="1" x14ac:dyDescent="0.2">
      <c r="A32" s="295">
        <v>10</v>
      </c>
      <c r="B32" s="295" t="s">
        <v>55</v>
      </c>
      <c r="C32" s="295" t="s">
        <v>182</v>
      </c>
      <c r="D32" s="295" t="s">
        <v>55</v>
      </c>
      <c r="E32" s="295" t="s">
        <v>292</v>
      </c>
      <c r="F32" s="295" t="s">
        <v>293</v>
      </c>
      <c r="G32" s="295"/>
    </row>
    <row r="33" spans="1:7" ht="18" customHeight="1" x14ac:dyDescent="0.2">
      <c r="A33" s="295">
        <v>11</v>
      </c>
      <c r="B33" s="295" t="s">
        <v>59</v>
      </c>
      <c r="C33" s="295" t="s">
        <v>74</v>
      </c>
      <c r="D33" s="295" t="s">
        <v>59</v>
      </c>
      <c r="E33" s="295" t="s">
        <v>294</v>
      </c>
      <c r="F33" s="295" t="s">
        <v>293</v>
      </c>
      <c r="G33" s="295"/>
    </row>
    <row r="34" spans="1:7" ht="18" customHeight="1" x14ac:dyDescent="0.2">
      <c r="A34" s="295">
        <v>12</v>
      </c>
      <c r="B34" s="295" t="s">
        <v>62</v>
      </c>
      <c r="C34" s="295" t="s">
        <v>77</v>
      </c>
      <c r="D34" s="295" t="s">
        <v>62</v>
      </c>
      <c r="E34" s="295" t="s">
        <v>294</v>
      </c>
      <c r="F34" s="295" t="s">
        <v>293</v>
      </c>
      <c r="G34" s="295"/>
    </row>
    <row r="35" spans="1:7" ht="18" customHeight="1" x14ac:dyDescent="0.2">
      <c r="A35" s="295">
        <v>13</v>
      </c>
      <c r="B35" s="295" t="s">
        <v>65</v>
      </c>
      <c r="C35" s="295" t="s">
        <v>80</v>
      </c>
      <c r="D35" s="295" t="s">
        <v>65</v>
      </c>
      <c r="E35" s="295" t="s">
        <v>294</v>
      </c>
      <c r="F35" s="295" t="s">
        <v>293</v>
      </c>
      <c r="G35" s="295"/>
    </row>
    <row r="36" spans="1:7" ht="18" customHeight="1" x14ac:dyDescent="0.2">
      <c r="A36" s="295">
        <v>14</v>
      </c>
      <c r="B36" s="295" t="s">
        <v>68</v>
      </c>
      <c r="C36" s="295" t="s">
        <v>83</v>
      </c>
      <c r="D36" s="295" t="s">
        <v>68</v>
      </c>
      <c r="E36" s="295" t="s">
        <v>294</v>
      </c>
      <c r="F36" s="295" t="s">
        <v>293</v>
      </c>
      <c r="G36" s="295"/>
    </row>
    <row r="37" spans="1:7" ht="18" customHeight="1" x14ac:dyDescent="0.2">
      <c r="A37" s="295">
        <v>15</v>
      </c>
      <c r="B37" s="295" t="s">
        <v>71</v>
      </c>
      <c r="C37" s="295" t="s">
        <v>86</v>
      </c>
      <c r="D37" s="295" t="s">
        <v>71</v>
      </c>
      <c r="E37" s="295" t="s">
        <v>294</v>
      </c>
      <c r="F37" s="295" t="s">
        <v>293</v>
      </c>
      <c r="G37" s="295"/>
    </row>
    <row r="38" spans="1:7" ht="18" customHeight="1" x14ac:dyDescent="0.2">
      <c r="A38" s="295">
        <v>16</v>
      </c>
      <c r="B38" s="295" t="s">
        <v>75</v>
      </c>
      <c r="C38" s="295" t="s">
        <v>93</v>
      </c>
      <c r="D38" s="295" t="s">
        <v>75</v>
      </c>
      <c r="E38" s="295" t="s">
        <v>295</v>
      </c>
      <c r="F38" s="295" t="s">
        <v>293</v>
      </c>
      <c r="G38" s="295"/>
    </row>
    <row r="39" spans="1:7" ht="18" customHeight="1" x14ac:dyDescent="0.2">
      <c r="A39" s="295">
        <v>17</v>
      </c>
      <c r="B39" s="295" t="s">
        <v>78</v>
      </c>
      <c r="C39" s="295" t="s">
        <v>96</v>
      </c>
      <c r="D39" s="295" t="s">
        <v>78</v>
      </c>
      <c r="E39" s="295" t="s">
        <v>295</v>
      </c>
      <c r="F39" s="295" t="s">
        <v>293</v>
      </c>
      <c r="G39" s="295"/>
    </row>
    <row r="40" spans="1:7" ht="18" customHeight="1" x14ac:dyDescent="0.2">
      <c r="A40" s="295">
        <v>18</v>
      </c>
      <c r="B40" s="295" t="s">
        <v>81</v>
      </c>
      <c r="C40" s="295" t="s">
        <v>99</v>
      </c>
      <c r="D40" s="295" t="s">
        <v>81</v>
      </c>
      <c r="E40" s="295" t="s">
        <v>295</v>
      </c>
      <c r="F40" s="295" t="s">
        <v>293</v>
      </c>
      <c r="G40" s="295"/>
    </row>
    <row r="41" spans="1:7" ht="18" customHeight="1" x14ac:dyDescent="0.2">
      <c r="A41" s="295">
        <v>19</v>
      </c>
      <c r="B41" s="295" t="s">
        <v>84</v>
      </c>
      <c r="C41" s="295" t="s">
        <v>102</v>
      </c>
      <c r="D41" s="295" t="s">
        <v>84</v>
      </c>
      <c r="E41" s="295" t="s">
        <v>295</v>
      </c>
      <c r="F41" s="295" t="s">
        <v>293</v>
      </c>
      <c r="G41" s="295"/>
    </row>
    <row r="42" spans="1:7" ht="18" customHeight="1" x14ac:dyDescent="0.2">
      <c r="A42" s="295">
        <v>20</v>
      </c>
      <c r="B42" s="295" t="s">
        <v>87</v>
      </c>
      <c r="C42" s="295" t="s">
        <v>105</v>
      </c>
      <c r="D42" s="295" t="s">
        <v>87</v>
      </c>
      <c r="E42" s="295" t="s">
        <v>295</v>
      </c>
      <c r="F42" s="295" t="s">
        <v>293</v>
      </c>
      <c r="G42" s="295"/>
    </row>
    <row r="43" spans="1:7" ht="18" customHeight="1" x14ac:dyDescent="0.2">
      <c r="A43" s="295">
        <v>21</v>
      </c>
      <c r="B43" s="295" t="s">
        <v>90</v>
      </c>
      <c r="C43" s="295" t="s">
        <v>108</v>
      </c>
      <c r="D43" s="295" t="s">
        <v>90</v>
      </c>
      <c r="E43" s="295" t="s">
        <v>295</v>
      </c>
      <c r="F43" s="295" t="s">
        <v>293</v>
      </c>
      <c r="G43" s="295"/>
    </row>
    <row r="44" spans="1:7" ht="18" customHeight="1" x14ac:dyDescent="0.2">
      <c r="A44" s="295">
        <v>22</v>
      </c>
      <c r="B44" s="295" t="s">
        <v>94</v>
      </c>
      <c r="C44" s="295" t="s">
        <v>111</v>
      </c>
      <c r="D44" s="295" t="s">
        <v>94</v>
      </c>
      <c r="E44" s="295" t="s">
        <v>295</v>
      </c>
      <c r="F44" s="295" t="s">
        <v>293</v>
      </c>
      <c r="G44" s="295"/>
    </row>
    <row r="45" spans="1:7" ht="18" customHeight="1" x14ac:dyDescent="0.2">
      <c r="A45" s="295">
        <v>23</v>
      </c>
      <c r="B45" s="295" t="s">
        <v>97</v>
      </c>
      <c r="C45" s="295" t="s">
        <v>114</v>
      </c>
      <c r="D45" s="295" t="s">
        <v>97</v>
      </c>
      <c r="E45" s="295" t="s">
        <v>295</v>
      </c>
      <c r="F45" s="295" t="s">
        <v>293</v>
      </c>
      <c r="G45" s="295"/>
    </row>
    <row r="46" spans="1:7" ht="18" customHeight="1" x14ac:dyDescent="0.2">
      <c r="A46" s="295">
        <v>24</v>
      </c>
      <c r="B46" s="295" t="s">
        <v>100</v>
      </c>
      <c r="C46" s="295" t="s">
        <v>210</v>
      </c>
      <c r="D46" s="295" t="s">
        <v>100</v>
      </c>
      <c r="E46" s="295" t="s">
        <v>295</v>
      </c>
      <c r="F46" s="295" t="s">
        <v>293</v>
      </c>
      <c r="G46" s="295"/>
    </row>
    <row r="47" spans="1:7" ht="18" customHeight="1" x14ac:dyDescent="0.2">
      <c r="A47" s="295">
        <v>25</v>
      </c>
      <c r="B47" s="295" t="s">
        <v>103</v>
      </c>
      <c r="C47" s="295" t="s">
        <v>213</v>
      </c>
      <c r="D47" s="295" t="s">
        <v>103</v>
      </c>
      <c r="E47" s="295" t="s">
        <v>295</v>
      </c>
      <c r="F47" s="295" t="s">
        <v>293</v>
      </c>
      <c r="G47" s="295"/>
    </row>
    <row r="48" spans="1:7" ht="18" customHeight="1" x14ac:dyDescent="0.2">
      <c r="A48" s="295">
        <v>26</v>
      </c>
      <c r="B48" s="295" t="s">
        <v>106</v>
      </c>
      <c r="C48" s="295" t="s">
        <v>216</v>
      </c>
      <c r="D48" s="295" t="s">
        <v>106</v>
      </c>
      <c r="E48" s="295" t="s">
        <v>295</v>
      </c>
      <c r="F48" s="295" t="s">
        <v>293</v>
      </c>
      <c r="G48" s="295"/>
    </row>
    <row r="49" spans="1:7" ht="18" customHeight="1" x14ac:dyDescent="0.2">
      <c r="A49" s="295">
        <v>27</v>
      </c>
      <c r="B49" s="295" t="s">
        <v>109</v>
      </c>
      <c r="C49" s="295" t="s">
        <v>118</v>
      </c>
      <c r="D49" s="295" t="s">
        <v>109</v>
      </c>
      <c r="E49" s="295" t="s">
        <v>296</v>
      </c>
      <c r="F49" s="295" t="s">
        <v>293</v>
      </c>
      <c r="G49" s="295" t="s">
        <v>297</v>
      </c>
    </row>
    <row r="50" spans="1:7" ht="18" customHeight="1" x14ac:dyDescent="0.2">
      <c r="A50" s="295">
        <v>28</v>
      </c>
      <c r="B50" s="295" t="s">
        <v>112</v>
      </c>
      <c r="C50" s="295" t="s">
        <v>121</v>
      </c>
      <c r="D50" s="295" t="s">
        <v>112</v>
      </c>
      <c r="E50" s="295" t="s">
        <v>296</v>
      </c>
      <c r="F50" s="295" t="s">
        <v>293</v>
      </c>
      <c r="G50" s="295"/>
    </row>
    <row r="51" spans="1:7" ht="18" customHeight="1" x14ac:dyDescent="0.2">
      <c r="A51" s="295">
        <v>29</v>
      </c>
      <c r="B51" s="295" t="s">
        <v>115</v>
      </c>
      <c r="C51" s="295" t="s">
        <v>124</v>
      </c>
      <c r="D51" s="295" t="s">
        <v>115</v>
      </c>
      <c r="E51" s="295" t="s">
        <v>296</v>
      </c>
      <c r="F51" s="295" t="s">
        <v>293</v>
      </c>
      <c r="G51" s="295"/>
    </row>
    <row r="52" spans="1:7" ht="18" customHeight="1" x14ac:dyDescent="0.2">
      <c r="A52" s="295">
        <v>30</v>
      </c>
      <c r="B52" s="295" t="s">
        <v>119</v>
      </c>
      <c r="C52" s="295" t="s">
        <v>127</v>
      </c>
      <c r="D52" s="295" t="s">
        <v>119</v>
      </c>
      <c r="E52" s="295" t="s">
        <v>296</v>
      </c>
      <c r="F52" s="295" t="s">
        <v>293</v>
      </c>
      <c r="G52" s="295"/>
    </row>
    <row r="53" spans="1:7" ht="18" customHeight="1" x14ac:dyDescent="0.2">
      <c r="A53" s="295">
        <v>31</v>
      </c>
      <c r="B53" s="295" t="s">
        <v>122</v>
      </c>
      <c r="C53" s="295" t="s">
        <v>130</v>
      </c>
      <c r="D53" s="295" t="s">
        <v>122</v>
      </c>
      <c r="E53" s="295" t="s">
        <v>296</v>
      </c>
      <c r="F53" s="295" t="s">
        <v>293</v>
      </c>
      <c r="G53" s="295"/>
    </row>
    <row r="54" spans="1:7" ht="18" customHeight="1" x14ac:dyDescent="0.2">
      <c r="A54" s="295">
        <v>32</v>
      </c>
      <c r="B54" s="295" t="s">
        <v>125</v>
      </c>
      <c r="C54" s="295" t="s">
        <v>133</v>
      </c>
      <c r="D54" s="295" t="s">
        <v>125</v>
      </c>
      <c r="E54" s="295" t="s">
        <v>296</v>
      </c>
      <c r="F54" s="295" t="s">
        <v>293</v>
      </c>
      <c r="G54" s="295"/>
    </row>
    <row r="55" spans="1:7" ht="18" customHeight="1" x14ac:dyDescent="0.2">
      <c r="A55" s="295">
        <v>33</v>
      </c>
      <c r="B55" s="295" t="s">
        <v>128</v>
      </c>
      <c r="C55" s="295" t="s">
        <v>136</v>
      </c>
      <c r="D55" s="295" t="s">
        <v>128</v>
      </c>
      <c r="E55" s="295" t="s">
        <v>296</v>
      </c>
      <c r="F55" s="295" t="s">
        <v>293</v>
      </c>
      <c r="G55" s="295"/>
    </row>
    <row r="56" spans="1:7" ht="18" customHeight="1" x14ac:dyDescent="0.2">
      <c r="A56" s="295">
        <v>34</v>
      </c>
      <c r="B56" s="295" t="s">
        <v>131</v>
      </c>
      <c r="C56" s="295" t="s">
        <v>139</v>
      </c>
      <c r="D56" s="295" t="s">
        <v>131</v>
      </c>
      <c r="E56" s="295" t="s">
        <v>296</v>
      </c>
      <c r="F56" s="295" t="s">
        <v>293</v>
      </c>
      <c r="G56" s="295"/>
    </row>
    <row r="57" spans="1:7" ht="18" customHeight="1" x14ac:dyDescent="0.2">
      <c r="A57" s="295">
        <v>35</v>
      </c>
      <c r="B57" s="295" t="s">
        <v>134</v>
      </c>
      <c r="C57" s="295" t="s">
        <v>142</v>
      </c>
      <c r="D57" s="295" t="s">
        <v>134</v>
      </c>
      <c r="E57" s="295" t="s">
        <v>296</v>
      </c>
      <c r="F57" s="295" t="s">
        <v>293</v>
      </c>
      <c r="G57" s="295"/>
    </row>
    <row r="58" spans="1:7" ht="18" customHeight="1" x14ac:dyDescent="0.2">
      <c r="A58" s="295">
        <v>36</v>
      </c>
      <c r="B58" s="295" t="s">
        <v>137</v>
      </c>
      <c r="C58" s="295" t="s">
        <v>145</v>
      </c>
      <c r="D58" s="295" t="s">
        <v>137</v>
      </c>
      <c r="E58" s="295" t="s">
        <v>296</v>
      </c>
      <c r="F58" s="295" t="s">
        <v>293</v>
      </c>
      <c r="G58" s="295"/>
    </row>
    <row r="59" spans="1:7" x14ac:dyDescent="0.2">
      <c r="A59" s="295">
        <v>37</v>
      </c>
      <c r="B59" s="295" t="s">
        <v>140</v>
      </c>
      <c r="C59" s="295" t="s">
        <v>148</v>
      </c>
      <c r="D59" s="295" t="s">
        <v>140</v>
      </c>
      <c r="E59" s="295" t="s">
        <v>296</v>
      </c>
      <c r="F59" s="295" t="s">
        <v>293</v>
      </c>
      <c r="G59" s="295"/>
    </row>
    <row r="60" spans="1:7" x14ac:dyDescent="0.2">
      <c r="A60" s="295">
        <v>38</v>
      </c>
      <c r="B60" s="295" t="s">
        <v>143</v>
      </c>
      <c r="C60" s="295" t="s">
        <v>151</v>
      </c>
      <c r="D60" s="295" t="s">
        <v>143</v>
      </c>
      <c r="E60" s="295" t="s">
        <v>296</v>
      </c>
      <c r="F60" s="295" t="s">
        <v>293</v>
      </c>
      <c r="G60" s="295"/>
    </row>
    <row r="61" spans="1:7" x14ac:dyDescent="0.2">
      <c r="A61" s="295">
        <v>39</v>
      </c>
      <c r="B61" s="295" t="s">
        <v>146</v>
      </c>
      <c r="C61" s="295" t="s">
        <v>154</v>
      </c>
      <c r="D61" s="295" t="s">
        <v>146</v>
      </c>
      <c r="E61" s="295" t="s">
        <v>296</v>
      </c>
      <c r="F61" s="295" t="s">
        <v>293</v>
      </c>
      <c r="G61" s="295"/>
    </row>
    <row r="62" spans="1:7" x14ac:dyDescent="0.2">
      <c r="A62" s="295">
        <v>40</v>
      </c>
      <c r="B62" s="295" t="s">
        <v>149</v>
      </c>
      <c r="C62" s="295" t="s">
        <v>229</v>
      </c>
      <c r="D62" s="295" t="s">
        <v>149</v>
      </c>
      <c r="E62" s="295" t="s">
        <v>296</v>
      </c>
      <c r="F62" s="295" t="s">
        <v>293</v>
      </c>
      <c r="G62" s="295"/>
    </row>
    <row r="63" spans="1:7" x14ac:dyDescent="0.2">
      <c r="A63" s="295">
        <v>41</v>
      </c>
      <c r="B63" s="295" t="s">
        <v>152</v>
      </c>
      <c r="C63" s="295" t="s">
        <v>231</v>
      </c>
      <c r="D63" s="295" t="s">
        <v>152</v>
      </c>
      <c r="E63" s="295" t="s">
        <v>296</v>
      </c>
      <c r="F63" s="295" t="s">
        <v>293</v>
      </c>
      <c r="G63" s="295"/>
    </row>
    <row r="64" spans="1:7" x14ac:dyDescent="0.2">
      <c r="A64" s="295">
        <v>42</v>
      </c>
      <c r="B64" s="295" t="s">
        <v>233</v>
      </c>
      <c r="C64" s="295" t="s">
        <v>232</v>
      </c>
      <c r="D64" s="295" t="s">
        <v>233</v>
      </c>
      <c r="E64" s="295" t="s">
        <v>296</v>
      </c>
      <c r="F64" s="295" t="s">
        <v>293</v>
      </c>
      <c r="G64" s="295"/>
    </row>
    <row r="66" spans="1:2" x14ac:dyDescent="0.2">
      <c r="A66" s="299" t="s">
        <v>298</v>
      </c>
    </row>
    <row r="67" spans="1:2" x14ac:dyDescent="0.2">
      <c r="A67" s="296" t="s">
        <v>299</v>
      </c>
    </row>
    <row r="68" spans="1:2" x14ac:dyDescent="0.2">
      <c r="A68" s="296" t="s">
        <v>300</v>
      </c>
    </row>
    <row r="69" spans="1:2" x14ac:dyDescent="0.2">
      <c r="A69" s="297" t="s">
        <v>301</v>
      </c>
    </row>
    <row r="70" spans="1:2" x14ac:dyDescent="0.2">
      <c r="A70" s="300" t="s">
        <v>302</v>
      </c>
    </row>
    <row r="72" spans="1:2" x14ac:dyDescent="0.2">
      <c r="A72" s="298" t="s">
        <v>303</v>
      </c>
    </row>
    <row r="75" spans="1:2" x14ac:dyDescent="0.2">
      <c r="B75" s="373" t="s">
        <v>304</v>
      </c>
    </row>
    <row r="76" spans="1:2" ht="18.75" customHeight="1" x14ac:dyDescent="0.25">
      <c r="B76" s="374" t="s">
        <v>305</v>
      </c>
    </row>
    <row r="77" spans="1:2" x14ac:dyDescent="0.2">
      <c r="B77" s="348" t="s">
        <v>306</v>
      </c>
    </row>
    <row r="78" spans="1:2" x14ac:dyDescent="0.2">
      <c r="B78" s="348" t="s">
        <v>307</v>
      </c>
    </row>
    <row r="79" spans="1:2" x14ac:dyDescent="0.2">
      <c r="B79" s="373" t="s">
        <v>304</v>
      </c>
    </row>
    <row r="81" spans="2:3" x14ac:dyDescent="0.2">
      <c r="B81" s="347" t="s">
        <v>308</v>
      </c>
      <c r="C81" s="348" t="s">
        <v>309</v>
      </c>
    </row>
    <row r="82" spans="2:3" x14ac:dyDescent="0.2">
      <c r="B82" s="347" t="s">
        <v>310</v>
      </c>
      <c r="C82" s="348" t="s">
        <v>311</v>
      </c>
    </row>
    <row r="83" spans="2:3" x14ac:dyDescent="0.2">
      <c r="B83" s="347" t="s">
        <v>312</v>
      </c>
      <c r="C83" s="348" t="s">
        <v>313</v>
      </c>
    </row>
    <row r="84" spans="2:3" x14ac:dyDescent="0.2">
      <c r="B84" s="347" t="s">
        <v>314</v>
      </c>
      <c r="C84" s="348" t="s">
        <v>315</v>
      </c>
    </row>
    <row r="85" spans="2:3" x14ac:dyDescent="0.2">
      <c r="B85" s="347" t="s">
        <v>316</v>
      </c>
      <c r="C85" s="348" t="s">
        <v>317</v>
      </c>
    </row>
    <row r="86" spans="2:3" x14ac:dyDescent="0.2">
      <c r="B86" s="347" t="s">
        <v>318</v>
      </c>
      <c r="C86" s="348" t="s">
        <v>319</v>
      </c>
    </row>
    <row r="87" spans="2:3" x14ac:dyDescent="0.2">
      <c r="B87" s="347" t="s">
        <v>320</v>
      </c>
      <c r="C87" s="348" t="s">
        <v>321</v>
      </c>
    </row>
    <row r="89" spans="2:3" x14ac:dyDescent="0.2">
      <c r="B89" s="375" t="s">
        <v>322</v>
      </c>
      <c r="C89" s="376" t="s">
        <v>323</v>
      </c>
    </row>
    <row r="90" spans="2:3" x14ac:dyDescent="0.2">
      <c r="B90" s="373" t="s">
        <v>304</v>
      </c>
    </row>
    <row r="91" spans="2:3" ht="37.5" customHeight="1" x14ac:dyDescent="0.2">
      <c r="B91" s="380" t="s">
        <v>324</v>
      </c>
    </row>
    <row r="92" spans="2:3" ht="25.5" customHeight="1" x14ac:dyDescent="0.2">
      <c r="B92" s="381" t="s">
        <v>325</v>
      </c>
    </row>
    <row r="93" spans="2:3" ht="37.5" customHeight="1" x14ac:dyDescent="0.2">
      <c r="B93" s="381" t="s">
        <v>326</v>
      </c>
    </row>
    <row r="94" spans="2:3" ht="37.5" customHeight="1" x14ac:dyDescent="0.2">
      <c r="B94" s="381" t="s">
        <v>327</v>
      </c>
    </row>
    <row r="95" spans="2:3" ht="37.5" customHeight="1" x14ac:dyDescent="0.2">
      <c r="B95" s="381" t="s">
        <v>328</v>
      </c>
    </row>
    <row r="96" spans="2:3" ht="37.5" customHeight="1" x14ac:dyDescent="0.2">
      <c r="B96" s="381" t="s">
        <v>329</v>
      </c>
    </row>
    <row r="97" spans="2:2" ht="37.5" customHeight="1" x14ac:dyDescent="0.2">
      <c r="B97" s="381" t="s">
        <v>330</v>
      </c>
    </row>
    <row r="98" spans="2:2" ht="37.5" customHeight="1" x14ac:dyDescent="0.2">
      <c r="B98" s="381" t="s">
        <v>331</v>
      </c>
    </row>
    <row r="99" spans="2:2" ht="25.5" customHeight="1" x14ac:dyDescent="0.2">
      <c r="B99" s="381" t="s">
        <v>332</v>
      </c>
    </row>
    <row r="100" spans="2:2" ht="37.5" customHeight="1" x14ac:dyDescent="0.2">
      <c r="B100" s="381" t="s">
        <v>333</v>
      </c>
    </row>
    <row r="102" spans="2:2" ht="37.5" customHeight="1" x14ac:dyDescent="0.2">
      <c r="B102" s="380" t="s">
        <v>334</v>
      </c>
    </row>
    <row r="103" spans="2:2" ht="37.5" customHeight="1" x14ac:dyDescent="0.2">
      <c r="B103" s="381" t="s">
        <v>335</v>
      </c>
    </row>
    <row r="104" spans="2:2" ht="25.5" customHeight="1" x14ac:dyDescent="0.2">
      <c r="B104" s="381" t="s">
        <v>336</v>
      </c>
    </row>
    <row r="105" spans="2:2" ht="37.5" customHeight="1" x14ac:dyDescent="0.2">
      <c r="B105" s="381" t="s">
        <v>337</v>
      </c>
    </row>
    <row r="106" spans="2:2" ht="49.5" customHeight="1" x14ac:dyDescent="0.2">
      <c r="B106" s="381" t="s">
        <v>338</v>
      </c>
    </row>
    <row r="107" spans="2:2" ht="37.5" customHeight="1" x14ac:dyDescent="0.2">
      <c r="B107" s="381" t="s">
        <v>339</v>
      </c>
    </row>
    <row r="108" spans="2:2" ht="37.5" customHeight="1" x14ac:dyDescent="0.2">
      <c r="B108" s="381" t="s">
        <v>340</v>
      </c>
    </row>
    <row r="109" spans="2:2" ht="25.5" customHeight="1" x14ac:dyDescent="0.2">
      <c r="B109" s="381" t="s">
        <v>341</v>
      </c>
    </row>
    <row r="110" spans="2:2" ht="37.5" customHeight="1" x14ac:dyDescent="0.2">
      <c r="B110" s="381" t="s">
        <v>342</v>
      </c>
    </row>
    <row r="111" spans="2:2" ht="37.5" customHeight="1" x14ac:dyDescent="0.2">
      <c r="B111" s="381" t="s">
        <v>343</v>
      </c>
    </row>
    <row r="113" spans="2:2" ht="25.5" customHeight="1" x14ac:dyDescent="0.2">
      <c r="B113" s="380" t="s">
        <v>344</v>
      </c>
    </row>
    <row r="114" spans="2:2" ht="37.5" customHeight="1" x14ac:dyDescent="0.2">
      <c r="B114" s="381" t="s">
        <v>345</v>
      </c>
    </row>
    <row r="115" spans="2:2" ht="37.5" customHeight="1" x14ac:dyDescent="0.2">
      <c r="B115" s="381" t="s">
        <v>346</v>
      </c>
    </row>
    <row r="116" spans="2:2" ht="37.5" customHeight="1" x14ac:dyDescent="0.2">
      <c r="B116" s="381" t="s">
        <v>347</v>
      </c>
    </row>
    <row r="117" spans="2:2" ht="37.5" customHeight="1" x14ac:dyDescent="0.2">
      <c r="B117" s="381" t="s">
        <v>348</v>
      </c>
    </row>
    <row r="118" spans="2:2" ht="37.5" customHeight="1" x14ac:dyDescent="0.2">
      <c r="B118" s="381" t="s">
        <v>349</v>
      </c>
    </row>
    <row r="119" spans="2:2" ht="34.5" customHeight="1" x14ac:dyDescent="0.2">
      <c r="B119" s="382" t="s">
        <v>350</v>
      </c>
    </row>
    <row r="121" spans="2:2" x14ac:dyDescent="0.2">
      <c r="B121" t="s">
        <v>351</v>
      </c>
    </row>
    <row r="122" spans="2:2" x14ac:dyDescent="0.2">
      <c r="B122" t="s">
        <v>352</v>
      </c>
    </row>
    <row r="123" spans="2:2" x14ac:dyDescent="0.2">
      <c r="B123" t="s">
        <v>353</v>
      </c>
    </row>
    <row r="124" spans="2:2" x14ac:dyDescent="0.2">
      <c r="B124" t="s">
        <v>354</v>
      </c>
    </row>
    <row r="126" spans="2:2" x14ac:dyDescent="0.2">
      <c r="B126" t="s">
        <v>355</v>
      </c>
    </row>
    <row r="127" spans="2:2" x14ac:dyDescent="0.2">
      <c r="B127" t="s">
        <v>356</v>
      </c>
    </row>
    <row r="128" spans="2:2" x14ac:dyDescent="0.2">
      <c r="B128" t="s">
        <v>357</v>
      </c>
    </row>
    <row r="129" spans="2:2" x14ac:dyDescent="0.2">
      <c r="B129" t="s">
        <v>358</v>
      </c>
    </row>
    <row r="130" spans="2:2" x14ac:dyDescent="0.2">
      <c r="B13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396" customWidth="1"/>
    <col min="2" max="2" width="11.97265625" style="396" customWidth="1"/>
    <col min="3" max="3" width="13.98828125" style="396" customWidth="1"/>
    <col min="4" max="4" width="9.953125" style="396" customWidth="1"/>
    <col min="5" max="5" width="27.98046875" style="396" customWidth="1"/>
    <col min="6" max="6" width="22.05859375" style="396" customWidth="1"/>
    <col min="7" max="7" width="27.98046875" style="396" customWidth="1"/>
    <col min="8" max="8" width="13.98828125" style="396" customWidth="1"/>
    <col min="9" max="9" width="7.93359375" style="396" customWidth="1"/>
  </cols>
  <sheetData>
    <row r="1" spans="1:9" x14ac:dyDescent="0.2">
      <c r="A1" s="449" t="s">
        <v>360</v>
      </c>
      <c r="B1" s="416"/>
      <c r="C1" s="416"/>
      <c r="D1" s="416"/>
      <c r="E1" s="416"/>
      <c r="F1" s="416"/>
      <c r="G1" s="416"/>
      <c r="H1" s="416"/>
      <c r="I1" s="416"/>
    </row>
    <row r="2" spans="1:9" x14ac:dyDescent="0.2">
      <c r="A2" s="451" t="s">
        <v>361</v>
      </c>
      <c r="B2" s="416"/>
      <c r="C2" s="416"/>
      <c r="D2" s="416"/>
      <c r="E2" s="416"/>
      <c r="F2" s="416"/>
      <c r="G2" s="416"/>
      <c r="H2" s="416"/>
      <c r="I2" s="416"/>
    </row>
    <row r="3" spans="1:9" x14ac:dyDescent="0.2">
      <c r="A3" s="231"/>
      <c r="B3" s="231"/>
      <c r="C3" s="231"/>
      <c r="D3" s="231"/>
      <c r="E3" s="231"/>
      <c r="F3" s="231"/>
      <c r="G3" s="231"/>
      <c r="H3" s="231"/>
      <c r="I3" s="231"/>
    </row>
    <row r="4" spans="1:9" x14ac:dyDescent="0.2">
      <c r="A4" s="440" t="s">
        <v>362</v>
      </c>
      <c r="B4" s="416"/>
      <c r="C4" s="416"/>
      <c r="D4" s="416"/>
      <c r="E4" s="416"/>
      <c r="F4" s="416"/>
      <c r="G4" s="416"/>
      <c r="H4" s="416"/>
      <c r="I4" s="416"/>
    </row>
    <row r="5" spans="1:9" x14ac:dyDescent="0.2">
      <c r="A5" s="320" t="s">
        <v>270</v>
      </c>
      <c r="B5" s="320" t="s">
        <v>252</v>
      </c>
      <c r="C5" s="320" t="s">
        <v>271</v>
      </c>
      <c r="D5" s="320" t="s">
        <v>363</v>
      </c>
      <c r="E5" s="320" t="s">
        <v>364</v>
      </c>
      <c r="F5" s="231"/>
      <c r="G5" s="231"/>
      <c r="H5" s="231"/>
      <c r="I5" s="231"/>
    </row>
    <row r="6" spans="1:9" x14ac:dyDescent="0.2">
      <c r="A6" s="321" t="s">
        <v>272</v>
      </c>
      <c r="B6" s="321" t="s">
        <v>365</v>
      </c>
      <c r="C6" s="321" t="s">
        <v>274</v>
      </c>
      <c r="D6" s="321" t="s">
        <v>275</v>
      </c>
      <c r="E6" s="321" t="s">
        <v>366</v>
      </c>
      <c r="F6" s="231"/>
      <c r="G6" s="231"/>
      <c r="H6" s="231"/>
      <c r="I6" s="231"/>
    </row>
    <row r="7" spans="1:9" x14ac:dyDescent="0.2">
      <c r="A7" s="397" t="s">
        <v>276</v>
      </c>
      <c r="B7" s="397" t="s">
        <v>367</v>
      </c>
      <c r="C7" s="397" t="s">
        <v>277</v>
      </c>
      <c r="D7" s="397" t="s">
        <v>368</v>
      </c>
      <c r="E7" s="397" t="s">
        <v>366</v>
      </c>
      <c r="F7" s="231"/>
      <c r="G7" s="231"/>
      <c r="H7" s="231"/>
      <c r="I7" s="231"/>
    </row>
    <row r="8" spans="1:9" x14ac:dyDescent="0.2">
      <c r="A8" s="321" t="s">
        <v>369</v>
      </c>
      <c r="B8" s="321" t="s">
        <v>370</v>
      </c>
      <c r="C8" s="321" t="s">
        <v>371</v>
      </c>
      <c r="D8" s="321" t="s">
        <v>372</v>
      </c>
      <c r="E8" s="321" t="s">
        <v>373</v>
      </c>
      <c r="F8" s="231"/>
      <c r="G8" s="231"/>
      <c r="H8" s="231"/>
      <c r="I8" s="231"/>
    </row>
    <row r="9" spans="1:9" x14ac:dyDescent="0.2">
      <c r="A9" s="397" t="s">
        <v>279</v>
      </c>
      <c r="B9" s="397" t="s">
        <v>374</v>
      </c>
      <c r="C9" s="397" t="s">
        <v>375</v>
      </c>
      <c r="D9" s="397" t="s">
        <v>376</v>
      </c>
      <c r="E9" s="397" t="s">
        <v>377</v>
      </c>
      <c r="F9" s="231"/>
      <c r="G9" s="231"/>
      <c r="H9" s="231"/>
      <c r="I9" s="231"/>
    </row>
    <row r="10" spans="1:9" x14ac:dyDescent="0.2">
      <c r="A10" s="231"/>
      <c r="B10" s="231"/>
      <c r="C10" s="231"/>
      <c r="D10" s="231"/>
      <c r="E10" s="231"/>
      <c r="F10" s="231"/>
      <c r="G10" s="231"/>
      <c r="H10" s="231"/>
      <c r="I10" s="231"/>
    </row>
    <row r="11" spans="1:9" x14ac:dyDescent="0.2">
      <c r="A11" s="440" t="s">
        <v>378</v>
      </c>
      <c r="B11" s="416"/>
      <c r="C11" s="416"/>
      <c r="D11" s="416"/>
      <c r="E11" s="416"/>
      <c r="F11" s="416"/>
      <c r="G11" s="416"/>
      <c r="H11" s="416"/>
      <c r="I11" s="416"/>
    </row>
    <row r="12" spans="1:9" x14ac:dyDescent="0.2">
      <c r="A12" s="322" t="s">
        <v>379</v>
      </c>
      <c r="B12" s="322" t="s">
        <v>380</v>
      </c>
      <c r="C12" s="322" t="s">
        <v>381</v>
      </c>
      <c r="D12" s="322" t="s">
        <v>382</v>
      </c>
      <c r="E12" s="322" t="s">
        <v>383</v>
      </c>
      <c r="F12" s="322" t="s">
        <v>384</v>
      </c>
      <c r="G12" s="322" t="s">
        <v>385</v>
      </c>
      <c r="H12" s="322" t="s">
        <v>386</v>
      </c>
      <c r="I12" s="322" t="s">
        <v>387</v>
      </c>
    </row>
    <row r="13" spans="1:9" x14ac:dyDescent="0.2">
      <c r="A13" s="323">
        <v>1</v>
      </c>
      <c r="B13" s="404" t="s">
        <v>388</v>
      </c>
      <c r="C13" s="401" t="s">
        <v>389</v>
      </c>
      <c r="D13" s="401" t="s">
        <v>390</v>
      </c>
      <c r="E13" s="324" t="s">
        <v>391</v>
      </c>
      <c r="F13" s="401" t="s">
        <v>392</v>
      </c>
      <c r="G13" s="324" t="s">
        <v>393</v>
      </c>
      <c r="H13" s="325" t="s">
        <v>394</v>
      </c>
      <c r="I13" s="326" t="s">
        <v>395</v>
      </c>
    </row>
    <row r="14" spans="1:9" ht="23.25" customHeight="1" x14ac:dyDescent="0.2">
      <c r="A14" s="327">
        <v>2</v>
      </c>
      <c r="B14" s="328" t="s">
        <v>396</v>
      </c>
      <c r="C14" s="321" t="s">
        <v>389</v>
      </c>
      <c r="D14" s="321" t="s">
        <v>390</v>
      </c>
      <c r="E14" s="329" t="s">
        <v>397</v>
      </c>
      <c r="F14" s="321" t="s">
        <v>398</v>
      </c>
      <c r="G14" s="329" t="s">
        <v>399</v>
      </c>
      <c r="H14" s="330" t="s">
        <v>400</v>
      </c>
      <c r="I14" s="331" t="s">
        <v>395</v>
      </c>
    </row>
    <row r="15" spans="1:9" ht="23.25" customHeight="1" x14ac:dyDescent="0.2">
      <c r="A15" s="323">
        <v>3</v>
      </c>
      <c r="B15" s="332" t="s">
        <v>396</v>
      </c>
      <c r="C15" s="401" t="s">
        <v>389</v>
      </c>
      <c r="D15" s="401" t="s">
        <v>390</v>
      </c>
      <c r="E15" s="324" t="s">
        <v>401</v>
      </c>
      <c r="F15" s="401" t="s">
        <v>402</v>
      </c>
      <c r="G15" s="324" t="s">
        <v>403</v>
      </c>
      <c r="H15" s="325" t="s">
        <v>394</v>
      </c>
      <c r="I15" s="326" t="s">
        <v>395</v>
      </c>
    </row>
    <row r="16" spans="1:9" x14ac:dyDescent="0.2">
      <c r="A16" s="327">
        <v>4</v>
      </c>
      <c r="B16" s="333" t="s">
        <v>388</v>
      </c>
      <c r="C16" s="321" t="s">
        <v>389</v>
      </c>
      <c r="D16" s="321" t="s">
        <v>404</v>
      </c>
      <c r="E16" s="329" t="s">
        <v>405</v>
      </c>
      <c r="F16" s="321" t="s">
        <v>406</v>
      </c>
      <c r="G16" s="329" t="s">
        <v>407</v>
      </c>
      <c r="H16" s="334" t="s">
        <v>394</v>
      </c>
      <c r="I16" s="331" t="s">
        <v>395</v>
      </c>
    </row>
    <row r="17" spans="1:9" ht="23.25" customHeight="1" x14ac:dyDescent="0.2">
      <c r="A17" s="323">
        <v>5</v>
      </c>
      <c r="B17" s="404" t="s">
        <v>388</v>
      </c>
      <c r="C17" s="401" t="s">
        <v>389</v>
      </c>
      <c r="D17" s="401" t="s">
        <v>404</v>
      </c>
      <c r="E17" s="324" t="s">
        <v>408</v>
      </c>
      <c r="F17" s="401" t="s">
        <v>409</v>
      </c>
      <c r="G17" s="324" t="s">
        <v>410</v>
      </c>
      <c r="H17" s="325" t="s">
        <v>394</v>
      </c>
      <c r="I17" s="326" t="s">
        <v>395</v>
      </c>
    </row>
    <row r="18" spans="1:9" ht="23.25" customHeight="1" x14ac:dyDescent="0.2">
      <c r="A18" s="327">
        <v>6</v>
      </c>
      <c r="B18" s="328" t="s">
        <v>396</v>
      </c>
      <c r="C18" s="321" t="s">
        <v>389</v>
      </c>
      <c r="D18" s="321" t="s">
        <v>404</v>
      </c>
      <c r="E18" s="329" t="s">
        <v>411</v>
      </c>
      <c r="F18" s="321" t="s">
        <v>398</v>
      </c>
      <c r="G18" s="329" t="s">
        <v>412</v>
      </c>
      <c r="H18" s="330" t="s">
        <v>400</v>
      </c>
      <c r="I18" s="331" t="s">
        <v>395</v>
      </c>
    </row>
    <row r="19" spans="1:9" ht="23.25" customHeight="1" x14ac:dyDescent="0.2">
      <c r="A19" s="323">
        <v>7</v>
      </c>
      <c r="B19" s="332" t="s">
        <v>396</v>
      </c>
      <c r="C19" s="401" t="s">
        <v>389</v>
      </c>
      <c r="D19" s="401" t="s">
        <v>404</v>
      </c>
      <c r="E19" s="324" t="s">
        <v>413</v>
      </c>
      <c r="F19" s="401" t="s">
        <v>402</v>
      </c>
      <c r="G19" s="324" t="s">
        <v>414</v>
      </c>
      <c r="H19" s="325" t="s">
        <v>394</v>
      </c>
      <c r="I19" s="326" t="s">
        <v>395</v>
      </c>
    </row>
    <row r="20" spans="1:9" x14ac:dyDescent="0.2">
      <c r="A20" s="327">
        <v>8</v>
      </c>
      <c r="B20" s="333" t="s">
        <v>388</v>
      </c>
      <c r="C20" s="321" t="s">
        <v>415</v>
      </c>
      <c r="D20" s="321" t="s">
        <v>390</v>
      </c>
      <c r="E20" s="329" t="s">
        <v>391</v>
      </c>
      <c r="F20" s="321" t="s">
        <v>416</v>
      </c>
      <c r="G20" s="329" t="s">
        <v>417</v>
      </c>
      <c r="H20" s="334" t="s">
        <v>394</v>
      </c>
      <c r="I20" s="331" t="s">
        <v>395</v>
      </c>
    </row>
    <row r="21" spans="1:9" ht="23.25" customHeight="1" x14ac:dyDescent="0.2">
      <c r="A21" s="323">
        <v>9</v>
      </c>
      <c r="B21" s="332" t="s">
        <v>396</v>
      </c>
      <c r="C21" s="401" t="s">
        <v>415</v>
      </c>
      <c r="D21" s="401" t="s">
        <v>390</v>
      </c>
      <c r="E21" s="324" t="s">
        <v>418</v>
      </c>
      <c r="F21" s="401" t="s">
        <v>419</v>
      </c>
      <c r="G21" s="324" t="s">
        <v>420</v>
      </c>
      <c r="H21" s="335" t="s">
        <v>421</v>
      </c>
      <c r="I21" s="326" t="s">
        <v>395</v>
      </c>
    </row>
    <row r="22" spans="1:9" ht="24" customHeight="1" x14ac:dyDescent="0.2">
      <c r="A22" s="327">
        <v>10</v>
      </c>
      <c r="B22" s="328" t="s">
        <v>396</v>
      </c>
      <c r="C22" s="321" t="s">
        <v>415</v>
      </c>
      <c r="D22" s="321" t="s">
        <v>390</v>
      </c>
      <c r="E22" s="329" t="s">
        <v>401</v>
      </c>
      <c r="F22" s="321" t="s">
        <v>422</v>
      </c>
      <c r="G22" s="329" t="s">
        <v>423</v>
      </c>
      <c r="H22" s="334" t="s">
        <v>394</v>
      </c>
      <c r="I22" s="331" t="s">
        <v>395</v>
      </c>
    </row>
    <row r="23" spans="1:9" x14ac:dyDescent="0.2">
      <c r="A23" s="323">
        <v>11</v>
      </c>
      <c r="B23" s="404" t="s">
        <v>388</v>
      </c>
      <c r="C23" s="401" t="s">
        <v>415</v>
      </c>
      <c r="D23" s="401" t="s">
        <v>404</v>
      </c>
      <c r="E23" s="324" t="s">
        <v>405</v>
      </c>
      <c r="F23" s="401" t="s">
        <v>424</v>
      </c>
      <c r="G23" s="324" t="s">
        <v>425</v>
      </c>
      <c r="H23" s="325" t="s">
        <v>394</v>
      </c>
      <c r="I23" s="326" t="s">
        <v>395</v>
      </c>
    </row>
    <row r="24" spans="1:9" ht="23.25" customHeight="1" x14ac:dyDescent="0.2">
      <c r="A24" s="327">
        <v>12</v>
      </c>
      <c r="B24" s="333" t="s">
        <v>388</v>
      </c>
      <c r="C24" s="321" t="s">
        <v>415</v>
      </c>
      <c r="D24" s="321" t="s">
        <v>404</v>
      </c>
      <c r="E24" s="329" t="s">
        <v>408</v>
      </c>
      <c r="F24" s="321" t="s">
        <v>409</v>
      </c>
      <c r="G24" s="329" t="s">
        <v>426</v>
      </c>
      <c r="H24" s="334" t="s">
        <v>394</v>
      </c>
      <c r="I24" s="331" t="s">
        <v>395</v>
      </c>
    </row>
    <row r="25" spans="1:9" ht="23.25" customHeight="1" x14ac:dyDescent="0.2">
      <c r="A25" s="323">
        <v>13</v>
      </c>
      <c r="B25" s="332" t="s">
        <v>396</v>
      </c>
      <c r="C25" s="401" t="s">
        <v>415</v>
      </c>
      <c r="D25" s="401" t="s">
        <v>404</v>
      </c>
      <c r="E25" s="324" t="s">
        <v>418</v>
      </c>
      <c r="F25" s="401" t="s">
        <v>419</v>
      </c>
      <c r="G25" s="324" t="s">
        <v>420</v>
      </c>
      <c r="H25" s="335" t="s">
        <v>421</v>
      </c>
      <c r="I25" s="326" t="s">
        <v>395</v>
      </c>
    </row>
    <row r="26" spans="1:9" ht="24" customHeight="1" x14ac:dyDescent="0.2">
      <c r="A26" s="327">
        <v>14</v>
      </c>
      <c r="B26" s="328" t="s">
        <v>396</v>
      </c>
      <c r="C26" s="321" t="s">
        <v>415</v>
      </c>
      <c r="D26" s="321" t="s">
        <v>404</v>
      </c>
      <c r="E26" s="329" t="s">
        <v>413</v>
      </c>
      <c r="F26" s="321" t="s">
        <v>422</v>
      </c>
      <c r="G26" s="329" t="s">
        <v>427</v>
      </c>
      <c r="H26" s="334" t="s">
        <v>394</v>
      </c>
      <c r="I26" s="331" t="s">
        <v>395</v>
      </c>
    </row>
    <row r="27" spans="1:9" x14ac:dyDescent="0.2">
      <c r="A27" s="323">
        <v>15</v>
      </c>
      <c r="B27" s="404" t="s">
        <v>388</v>
      </c>
      <c r="C27" s="401" t="s">
        <v>428</v>
      </c>
      <c r="D27" s="401" t="s">
        <v>390</v>
      </c>
      <c r="E27" s="324" t="s">
        <v>391</v>
      </c>
      <c r="F27" s="401" t="s">
        <v>416</v>
      </c>
      <c r="G27" s="324" t="s">
        <v>393</v>
      </c>
      <c r="H27" s="325" t="s">
        <v>394</v>
      </c>
      <c r="I27" s="326" t="s">
        <v>395</v>
      </c>
    </row>
    <row r="28" spans="1:9" ht="23.25" customHeight="1" x14ac:dyDescent="0.2">
      <c r="A28" s="327">
        <v>16</v>
      </c>
      <c r="B28" s="328" t="s">
        <v>396</v>
      </c>
      <c r="C28" s="321" t="s">
        <v>428</v>
      </c>
      <c r="D28" s="321" t="s">
        <v>390</v>
      </c>
      <c r="E28" s="329" t="s">
        <v>418</v>
      </c>
      <c r="F28" s="321" t="s">
        <v>419</v>
      </c>
      <c r="G28" s="329" t="s">
        <v>420</v>
      </c>
      <c r="H28" s="336" t="s">
        <v>421</v>
      </c>
      <c r="I28" s="331" t="s">
        <v>395</v>
      </c>
    </row>
    <row r="29" spans="1:9" ht="23.25" customHeight="1" x14ac:dyDescent="0.2">
      <c r="A29" s="323">
        <v>17</v>
      </c>
      <c r="B29" s="332" t="s">
        <v>396</v>
      </c>
      <c r="C29" s="401" t="s">
        <v>428</v>
      </c>
      <c r="D29" s="401" t="s">
        <v>390</v>
      </c>
      <c r="E29" s="324" t="s">
        <v>401</v>
      </c>
      <c r="F29" s="401" t="s">
        <v>429</v>
      </c>
      <c r="G29" s="324" t="s">
        <v>430</v>
      </c>
      <c r="H29" s="325" t="s">
        <v>394</v>
      </c>
      <c r="I29" s="326" t="s">
        <v>395</v>
      </c>
    </row>
    <row r="30" spans="1:9" ht="23.25" customHeight="1" x14ac:dyDescent="0.2">
      <c r="A30" s="327">
        <v>18</v>
      </c>
      <c r="B30" s="321" t="s">
        <v>431</v>
      </c>
      <c r="C30" s="321" t="s">
        <v>428</v>
      </c>
      <c r="D30" s="321" t="s">
        <v>390</v>
      </c>
      <c r="E30" s="329" t="s">
        <v>432</v>
      </c>
      <c r="F30" s="321" t="s">
        <v>433</v>
      </c>
      <c r="G30" s="329" t="s">
        <v>434</v>
      </c>
      <c r="H30" s="334" t="s">
        <v>394</v>
      </c>
      <c r="I30" s="331" t="s">
        <v>395</v>
      </c>
    </row>
    <row r="31" spans="1:9" x14ac:dyDescent="0.2">
      <c r="A31" s="323">
        <v>19</v>
      </c>
      <c r="B31" s="404" t="s">
        <v>388</v>
      </c>
      <c r="C31" s="401" t="s">
        <v>428</v>
      </c>
      <c r="D31" s="401" t="s">
        <v>404</v>
      </c>
      <c r="E31" s="324" t="s">
        <v>405</v>
      </c>
      <c r="F31" s="401" t="s">
        <v>424</v>
      </c>
      <c r="G31" s="324" t="s">
        <v>435</v>
      </c>
      <c r="H31" s="325" t="s">
        <v>394</v>
      </c>
      <c r="I31" s="326" t="s">
        <v>395</v>
      </c>
    </row>
    <row r="32" spans="1:9" ht="23.25" customHeight="1" x14ac:dyDescent="0.2">
      <c r="A32" s="327">
        <v>20</v>
      </c>
      <c r="B32" s="333" t="s">
        <v>388</v>
      </c>
      <c r="C32" s="321" t="s">
        <v>428</v>
      </c>
      <c r="D32" s="321" t="s">
        <v>404</v>
      </c>
      <c r="E32" s="329" t="s">
        <v>408</v>
      </c>
      <c r="F32" s="321" t="s">
        <v>409</v>
      </c>
      <c r="G32" s="329" t="s">
        <v>436</v>
      </c>
      <c r="H32" s="334" t="s">
        <v>394</v>
      </c>
      <c r="I32" s="331" t="s">
        <v>395</v>
      </c>
    </row>
    <row r="33" spans="1:9" ht="23.25" customHeight="1" x14ac:dyDescent="0.2">
      <c r="A33" s="323">
        <v>21</v>
      </c>
      <c r="B33" s="332" t="s">
        <v>396</v>
      </c>
      <c r="C33" s="401" t="s">
        <v>428</v>
      </c>
      <c r="D33" s="401" t="s">
        <v>404</v>
      </c>
      <c r="E33" s="324" t="s">
        <v>418</v>
      </c>
      <c r="F33" s="401" t="s">
        <v>419</v>
      </c>
      <c r="G33" s="324" t="s">
        <v>420</v>
      </c>
      <c r="H33" s="335" t="s">
        <v>421</v>
      </c>
      <c r="I33" s="326" t="s">
        <v>395</v>
      </c>
    </row>
    <row r="34" spans="1:9" ht="23.25" customHeight="1" x14ac:dyDescent="0.2">
      <c r="A34" s="327">
        <v>22</v>
      </c>
      <c r="B34" s="328" t="s">
        <v>396</v>
      </c>
      <c r="C34" s="321" t="s">
        <v>428</v>
      </c>
      <c r="D34" s="321" t="s">
        <v>404</v>
      </c>
      <c r="E34" s="329" t="s">
        <v>413</v>
      </c>
      <c r="F34" s="321" t="s">
        <v>429</v>
      </c>
      <c r="G34" s="329" t="s">
        <v>437</v>
      </c>
      <c r="H34" s="334" t="s">
        <v>394</v>
      </c>
      <c r="I34" s="331" t="s">
        <v>395</v>
      </c>
    </row>
    <row r="35" spans="1:9" ht="23.25" customHeight="1" x14ac:dyDescent="0.2">
      <c r="A35" s="323">
        <v>23</v>
      </c>
      <c r="B35" s="401" t="s">
        <v>431</v>
      </c>
      <c r="C35" s="401" t="s">
        <v>428</v>
      </c>
      <c r="D35" s="401" t="s">
        <v>404</v>
      </c>
      <c r="E35" s="324" t="s">
        <v>438</v>
      </c>
      <c r="F35" s="401" t="s">
        <v>433</v>
      </c>
      <c r="G35" s="324" t="s">
        <v>439</v>
      </c>
      <c r="H35" s="325" t="s">
        <v>394</v>
      </c>
      <c r="I35" s="326" t="s">
        <v>395</v>
      </c>
    </row>
    <row r="36" spans="1:9" x14ac:dyDescent="0.2">
      <c r="A36" s="327">
        <v>24</v>
      </c>
      <c r="B36" s="333" t="s">
        <v>388</v>
      </c>
      <c r="C36" s="321" t="s">
        <v>440</v>
      </c>
      <c r="D36" s="321" t="s">
        <v>390</v>
      </c>
      <c r="E36" s="329" t="s">
        <v>391</v>
      </c>
      <c r="F36" s="321" t="s">
        <v>416</v>
      </c>
      <c r="G36" s="329" t="s">
        <v>393</v>
      </c>
      <c r="H36" s="334" t="s">
        <v>394</v>
      </c>
      <c r="I36" s="331" t="s">
        <v>395</v>
      </c>
    </row>
    <row r="37" spans="1:9" ht="23.25" customHeight="1" x14ac:dyDescent="0.2">
      <c r="A37" s="323">
        <v>25</v>
      </c>
      <c r="B37" s="332" t="s">
        <v>396</v>
      </c>
      <c r="C37" s="401" t="s">
        <v>440</v>
      </c>
      <c r="D37" s="401" t="s">
        <v>390</v>
      </c>
      <c r="E37" s="324" t="s">
        <v>418</v>
      </c>
      <c r="F37" s="401" t="s">
        <v>419</v>
      </c>
      <c r="G37" s="324" t="s">
        <v>420</v>
      </c>
      <c r="H37" s="335" t="s">
        <v>421</v>
      </c>
      <c r="I37" s="326" t="s">
        <v>395</v>
      </c>
    </row>
    <row r="38" spans="1:9" ht="23.25" customHeight="1" x14ac:dyDescent="0.2">
      <c r="A38" s="327">
        <v>26</v>
      </c>
      <c r="B38" s="328" t="s">
        <v>396</v>
      </c>
      <c r="C38" s="321" t="s">
        <v>440</v>
      </c>
      <c r="D38" s="321" t="s">
        <v>390</v>
      </c>
      <c r="E38" s="329" t="s">
        <v>401</v>
      </c>
      <c r="F38" s="321" t="s">
        <v>441</v>
      </c>
      <c r="G38" s="329" t="s">
        <v>442</v>
      </c>
      <c r="H38" s="334" t="s">
        <v>394</v>
      </c>
      <c r="I38" s="331" t="s">
        <v>395</v>
      </c>
    </row>
    <row r="39" spans="1:9" ht="23.25" customHeight="1" x14ac:dyDescent="0.2">
      <c r="A39" s="323">
        <v>27</v>
      </c>
      <c r="B39" s="401" t="s">
        <v>431</v>
      </c>
      <c r="C39" s="401" t="s">
        <v>440</v>
      </c>
      <c r="D39" s="401" t="s">
        <v>390</v>
      </c>
      <c r="E39" s="324" t="s">
        <v>432</v>
      </c>
      <c r="F39" s="401" t="s">
        <v>443</v>
      </c>
      <c r="G39" s="324" t="s">
        <v>444</v>
      </c>
      <c r="H39" s="325" t="s">
        <v>394</v>
      </c>
      <c r="I39" s="326" t="s">
        <v>395</v>
      </c>
    </row>
    <row r="40" spans="1:9" x14ac:dyDescent="0.2">
      <c r="A40" s="327">
        <v>28</v>
      </c>
      <c r="B40" s="333" t="s">
        <v>388</v>
      </c>
      <c r="C40" s="321" t="s">
        <v>440</v>
      </c>
      <c r="D40" s="321" t="s">
        <v>404</v>
      </c>
      <c r="E40" s="329" t="s">
        <v>405</v>
      </c>
      <c r="F40" s="321" t="s">
        <v>416</v>
      </c>
      <c r="G40" s="329" t="s">
        <v>435</v>
      </c>
      <c r="H40" s="334" t="s">
        <v>394</v>
      </c>
      <c r="I40" s="331" t="s">
        <v>395</v>
      </c>
    </row>
    <row r="41" spans="1:9" ht="23.25" customHeight="1" x14ac:dyDescent="0.2">
      <c r="A41" s="323">
        <v>29</v>
      </c>
      <c r="B41" s="404" t="s">
        <v>388</v>
      </c>
      <c r="C41" s="401" t="s">
        <v>440</v>
      </c>
      <c r="D41" s="401" t="s">
        <v>404</v>
      </c>
      <c r="E41" s="324" t="s">
        <v>408</v>
      </c>
      <c r="F41" s="401" t="s">
        <v>409</v>
      </c>
      <c r="G41" s="324" t="s">
        <v>436</v>
      </c>
      <c r="H41" s="325" t="s">
        <v>394</v>
      </c>
      <c r="I41" s="326" t="s">
        <v>395</v>
      </c>
    </row>
    <row r="42" spans="1:9" ht="23.25" customHeight="1" x14ac:dyDescent="0.2">
      <c r="A42" s="327">
        <v>30</v>
      </c>
      <c r="B42" s="328" t="s">
        <v>396</v>
      </c>
      <c r="C42" s="321" t="s">
        <v>440</v>
      </c>
      <c r="D42" s="321" t="s">
        <v>404</v>
      </c>
      <c r="E42" s="329" t="s">
        <v>418</v>
      </c>
      <c r="F42" s="321" t="s">
        <v>419</v>
      </c>
      <c r="G42" s="329" t="s">
        <v>420</v>
      </c>
      <c r="H42" s="336" t="s">
        <v>421</v>
      </c>
      <c r="I42" s="331" t="s">
        <v>395</v>
      </c>
    </row>
    <row r="43" spans="1:9" ht="23.25" customHeight="1" x14ac:dyDescent="0.2">
      <c r="A43" s="323">
        <v>31</v>
      </c>
      <c r="B43" s="332" t="s">
        <v>396</v>
      </c>
      <c r="C43" s="401" t="s">
        <v>440</v>
      </c>
      <c r="D43" s="401" t="s">
        <v>404</v>
      </c>
      <c r="E43" s="324" t="s">
        <v>413</v>
      </c>
      <c r="F43" s="401" t="s">
        <v>441</v>
      </c>
      <c r="G43" s="324" t="s">
        <v>445</v>
      </c>
      <c r="H43" s="325" t="s">
        <v>394</v>
      </c>
      <c r="I43" s="326" t="s">
        <v>395</v>
      </c>
    </row>
    <row r="44" spans="1:9" ht="23.25" customHeight="1" x14ac:dyDescent="0.2">
      <c r="A44" s="327">
        <v>32</v>
      </c>
      <c r="B44" s="321" t="s">
        <v>431</v>
      </c>
      <c r="C44" s="321" t="s">
        <v>440</v>
      </c>
      <c r="D44" s="321" t="s">
        <v>404</v>
      </c>
      <c r="E44" s="329" t="s">
        <v>438</v>
      </c>
      <c r="F44" s="321" t="s">
        <v>443</v>
      </c>
      <c r="G44" s="329" t="s">
        <v>446</v>
      </c>
      <c r="H44" s="334" t="s">
        <v>394</v>
      </c>
      <c r="I44" s="331" t="s">
        <v>395</v>
      </c>
    </row>
    <row r="45" spans="1:9" ht="23.25" customHeight="1" x14ac:dyDescent="0.2">
      <c r="A45" s="323">
        <v>33</v>
      </c>
      <c r="B45" s="404" t="s">
        <v>388</v>
      </c>
      <c r="C45" s="401" t="s">
        <v>447</v>
      </c>
      <c r="D45" s="401" t="s">
        <v>390</v>
      </c>
      <c r="E45" s="324" t="s">
        <v>448</v>
      </c>
      <c r="F45" s="401" t="s">
        <v>449</v>
      </c>
      <c r="G45" s="324" t="s">
        <v>450</v>
      </c>
      <c r="H45" s="325" t="s">
        <v>394</v>
      </c>
      <c r="I45" s="326" t="s">
        <v>395</v>
      </c>
    </row>
    <row r="46" spans="1:9" x14ac:dyDescent="0.2">
      <c r="A46" s="327">
        <v>34</v>
      </c>
      <c r="B46" s="333" t="s">
        <v>388</v>
      </c>
      <c r="C46" s="321" t="s">
        <v>447</v>
      </c>
      <c r="D46" s="321" t="s">
        <v>404</v>
      </c>
      <c r="E46" s="329" t="s">
        <v>405</v>
      </c>
      <c r="F46" s="321" t="s">
        <v>416</v>
      </c>
      <c r="G46" s="329" t="s">
        <v>435</v>
      </c>
      <c r="H46" s="334" t="s">
        <v>394</v>
      </c>
      <c r="I46" s="331" t="s">
        <v>395</v>
      </c>
    </row>
    <row r="47" spans="1:9" ht="23.25" customHeight="1" x14ac:dyDescent="0.2">
      <c r="A47" s="323">
        <v>35</v>
      </c>
      <c r="B47" s="404" t="s">
        <v>388</v>
      </c>
      <c r="C47" s="401" t="s">
        <v>447</v>
      </c>
      <c r="D47" s="401" t="s">
        <v>404</v>
      </c>
      <c r="E47" s="324" t="s">
        <v>408</v>
      </c>
      <c r="F47" s="401" t="s">
        <v>409</v>
      </c>
      <c r="G47" s="324" t="s">
        <v>426</v>
      </c>
      <c r="H47" s="325" t="s">
        <v>394</v>
      </c>
      <c r="I47" s="326" t="s">
        <v>395</v>
      </c>
    </row>
    <row r="48" spans="1:9" ht="23.25" customHeight="1" x14ac:dyDescent="0.2">
      <c r="A48" s="327">
        <v>36</v>
      </c>
      <c r="B48" s="328" t="s">
        <v>396</v>
      </c>
      <c r="C48" s="321" t="s">
        <v>447</v>
      </c>
      <c r="D48" s="321" t="s">
        <v>404</v>
      </c>
      <c r="E48" s="329" t="s">
        <v>418</v>
      </c>
      <c r="F48" s="321" t="s">
        <v>419</v>
      </c>
      <c r="G48" s="329" t="s">
        <v>420</v>
      </c>
      <c r="H48" s="336" t="s">
        <v>421</v>
      </c>
      <c r="I48" s="331" t="s">
        <v>395</v>
      </c>
    </row>
    <row r="49" spans="1:9" ht="23.25" customHeight="1" x14ac:dyDescent="0.2">
      <c r="A49" s="323">
        <v>37</v>
      </c>
      <c r="B49" s="332" t="s">
        <v>396</v>
      </c>
      <c r="C49" s="401" t="s">
        <v>447</v>
      </c>
      <c r="D49" s="401" t="s">
        <v>404</v>
      </c>
      <c r="E49" s="324" t="s">
        <v>413</v>
      </c>
      <c r="F49" s="401" t="s">
        <v>451</v>
      </c>
      <c r="G49" s="324" t="s">
        <v>452</v>
      </c>
      <c r="H49" s="325" t="s">
        <v>394</v>
      </c>
      <c r="I49" s="326" t="s">
        <v>395</v>
      </c>
    </row>
    <row r="50" spans="1:9" ht="23.25" customHeight="1" x14ac:dyDescent="0.2">
      <c r="A50" s="327">
        <v>38</v>
      </c>
      <c r="B50" s="321" t="s">
        <v>431</v>
      </c>
      <c r="C50" s="321" t="s">
        <v>447</v>
      </c>
      <c r="D50" s="321" t="s">
        <v>404</v>
      </c>
      <c r="E50" s="329" t="s">
        <v>438</v>
      </c>
      <c r="F50" s="321" t="s">
        <v>453</v>
      </c>
      <c r="G50" s="329" t="s">
        <v>454</v>
      </c>
      <c r="H50" s="334" t="s">
        <v>394</v>
      </c>
      <c r="I50" s="331" t="s">
        <v>395</v>
      </c>
    </row>
    <row r="51" spans="1:9" x14ac:dyDescent="0.2">
      <c r="A51" s="323">
        <v>39</v>
      </c>
      <c r="B51" s="404" t="s">
        <v>388</v>
      </c>
      <c r="C51" s="401" t="s">
        <v>455</v>
      </c>
      <c r="D51" s="401" t="s">
        <v>390</v>
      </c>
      <c r="E51" s="324" t="s">
        <v>391</v>
      </c>
      <c r="F51" s="401" t="s">
        <v>416</v>
      </c>
      <c r="G51" s="324" t="s">
        <v>417</v>
      </c>
      <c r="H51" s="325" t="s">
        <v>394</v>
      </c>
      <c r="I51" s="326" t="s">
        <v>395</v>
      </c>
    </row>
    <row r="52" spans="1:9" ht="23.25" customHeight="1" x14ac:dyDescent="0.2">
      <c r="A52" s="327">
        <v>40</v>
      </c>
      <c r="B52" s="328" t="s">
        <v>396</v>
      </c>
      <c r="C52" s="321" t="s">
        <v>455</v>
      </c>
      <c r="D52" s="321" t="s">
        <v>390</v>
      </c>
      <c r="E52" s="329" t="s">
        <v>418</v>
      </c>
      <c r="F52" s="321" t="s">
        <v>419</v>
      </c>
      <c r="G52" s="329" t="s">
        <v>420</v>
      </c>
      <c r="H52" s="336" t="s">
        <v>421</v>
      </c>
      <c r="I52" s="331" t="s">
        <v>395</v>
      </c>
    </row>
    <row r="53" spans="1:9" ht="24" customHeight="1" x14ac:dyDescent="0.2">
      <c r="A53" s="323">
        <v>41</v>
      </c>
      <c r="B53" s="332" t="s">
        <v>396</v>
      </c>
      <c r="C53" s="401" t="s">
        <v>455</v>
      </c>
      <c r="D53" s="401" t="s">
        <v>390</v>
      </c>
      <c r="E53" s="324" t="s">
        <v>401</v>
      </c>
      <c r="F53" s="401" t="s">
        <v>422</v>
      </c>
      <c r="G53" s="324" t="s">
        <v>456</v>
      </c>
      <c r="H53" s="325" t="s">
        <v>394</v>
      </c>
      <c r="I53" s="326" t="s">
        <v>395</v>
      </c>
    </row>
    <row r="54" spans="1:9" x14ac:dyDescent="0.2">
      <c r="A54" s="327">
        <v>42</v>
      </c>
      <c r="B54" s="333" t="s">
        <v>388</v>
      </c>
      <c r="C54" s="321" t="s">
        <v>455</v>
      </c>
      <c r="D54" s="321" t="s">
        <v>404</v>
      </c>
      <c r="E54" s="329" t="s">
        <v>405</v>
      </c>
      <c r="F54" s="321" t="s">
        <v>424</v>
      </c>
      <c r="G54" s="329" t="s">
        <v>425</v>
      </c>
      <c r="H54" s="334" t="s">
        <v>394</v>
      </c>
      <c r="I54" s="331" t="s">
        <v>395</v>
      </c>
    </row>
    <row r="55" spans="1:9" ht="23.25" customHeight="1" x14ac:dyDescent="0.2">
      <c r="A55" s="323">
        <v>43</v>
      </c>
      <c r="B55" s="404" t="s">
        <v>388</v>
      </c>
      <c r="C55" s="401" t="s">
        <v>455</v>
      </c>
      <c r="D55" s="401" t="s">
        <v>404</v>
      </c>
      <c r="E55" s="324" t="s">
        <v>408</v>
      </c>
      <c r="F55" s="401" t="s">
        <v>409</v>
      </c>
      <c r="G55" s="324" t="s">
        <v>436</v>
      </c>
      <c r="H55" s="325" t="s">
        <v>394</v>
      </c>
      <c r="I55" s="326" t="s">
        <v>395</v>
      </c>
    </row>
    <row r="56" spans="1:9" ht="23.25" customHeight="1" x14ac:dyDescent="0.2">
      <c r="A56" s="327">
        <v>44</v>
      </c>
      <c r="B56" s="328" t="s">
        <v>396</v>
      </c>
      <c r="C56" s="321" t="s">
        <v>455</v>
      </c>
      <c r="D56" s="321" t="s">
        <v>404</v>
      </c>
      <c r="E56" s="329" t="s">
        <v>418</v>
      </c>
      <c r="F56" s="321" t="s">
        <v>419</v>
      </c>
      <c r="G56" s="329" t="s">
        <v>420</v>
      </c>
      <c r="H56" s="336" t="s">
        <v>421</v>
      </c>
      <c r="I56" s="331" t="s">
        <v>395</v>
      </c>
    </row>
    <row r="57" spans="1:9" ht="24" customHeight="1" x14ac:dyDescent="0.2">
      <c r="A57" s="323">
        <v>45</v>
      </c>
      <c r="B57" s="332" t="s">
        <v>396</v>
      </c>
      <c r="C57" s="401" t="s">
        <v>455</v>
      </c>
      <c r="D57" s="401" t="s">
        <v>404</v>
      </c>
      <c r="E57" s="324" t="s">
        <v>413</v>
      </c>
      <c r="F57" s="401" t="s">
        <v>422</v>
      </c>
      <c r="G57" s="324" t="s">
        <v>457</v>
      </c>
      <c r="H57" s="325" t="s">
        <v>394</v>
      </c>
      <c r="I57" s="326" t="s">
        <v>395</v>
      </c>
    </row>
    <row r="58" spans="1:9" x14ac:dyDescent="0.2">
      <c r="A58" s="327">
        <v>46</v>
      </c>
      <c r="B58" s="333" t="s">
        <v>388</v>
      </c>
      <c r="C58" s="321" t="s">
        <v>458</v>
      </c>
      <c r="D58" s="321" t="s">
        <v>390</v>
      </c>
      <c r="E58" s="329" t="s">
        <v>391</v>
      </c>
      <c r="F58" s="321" t="s">
        <v>424</v>
      </c>
      <c r="G58" s="329" t="s">
        <v>417</v>
      </c>
      <c r="H58" s="334" t="s">
        <v>394</v>
      </c>
      <c r="I58" s="331" t="s">
        <v>395</v>
      </c>
    </row>
    <row r="59" spans="1:9" ht="23.25" customHeight="1" x14ac:dyDescent="0.2">
      <c r="A59" s="323">
        <v>47</v>
      </c>
      <c r="B59" s="332" t="s">
        <v>396</v>
      </c>
      <c r="C59" s="401" t="s">
        <v>458</v>
      </c>
      <c r="D59" s="401" t="s">
        <v>390</v>
      </c>
      <c r="E59" s="324" t="s">
        <v>418</v>
      </c>
      <c r="F59" s="401" t="s">
        <v>419</v>
      </c>
      <c r="G59" s="324" t="s">
        <v>420</v>
      </c>
      <c r="H59" s="335" t="s">
        <v>421</v>
      </c>
      <c r="I59" s="326" t="s">
        <v>395</v>
      </c>
    </row>
    <row r="60" spans="1:9" ht="24" customHeight="1" x14ac:dyDescent="0.2">
      <c r="A60" s="327">
        <v>48</v>
      </c>
      <c r="B60" s="328" t="s">
        <v>396</v>
      </c>
      <c r="C60" s="321" t="s">
        <v>458</v>
      </c>
      <c r="D60" s="321" t="s">
        <v>390</v>
      </c>
      <c r="E60" s="329" t="s">
        <v>401</v>
      </c>
      <c r="F60" s="321" t="s">
        <v>422</v>
      </c>
      <c r="G60" s="329" t="s">
        <v>459</v>
      </c>
      <c r="H60" s="334" t="s">
        <v>394</v>
      </c>
      <c r="I60" s="331" t="s">
        <v>395</v>
      </c>
    </row>
    <row r="61" spans="1:9" x14ac:dyDescent="0.2">
      <c r="A61" s="323">
        <v>49</v>
      </c>
      <c r="B61" s="404" t="s">
        <v>388</v>
      </c>
      <c r="C61" s="401" t="s">
        <v>458</v>
      </c>
      <c r="D61" s="401" t="s">
        <v>404</v>
      </c>
      <c r="E61" s="324" t="s">
        <v>405</v>
      </c>
      <c r="F61" s="401" t="s">
        <v>424</v>
      </c>
      <c r="G61" s="324" t="s">
        <v>460</v>
      </c>
      <c r="H61" s="325" t="s">
        <v>394</v>
      </c>
      <c r="I61" s="326" t="s">
        <v>395</v>
      </c>
    </row>
    <row r="62" spans="1:9" ht="23.25" customHeight="1" x14ac:dyDescent="0.2">
      <c r="A62" s="327">
        <v>50</v>
      </c>
      <c r="B62" s="333" t="s">
        <v>388</v>
      </c>
      <c r="C62" s="321" t="s">
        <v>458</v>
      </c>
      <c r="D62" s="321" t="s">
        <v>404</v>
      </c>
      <c r="E62" s="329" t="s">
        <v>408</v>
      </c>
      <c r="F62" s="321" t="s">
        <v>409</v>
      </c>
      <c r="G62" s="329" t="s">
        <v>436</v>
      </c>
      <c r="H62" s="334" t="s">
        <v>394</v>
      </c>
      <c r="I62" s="331" t="s">
        <v>395</v>
      </c>
    </row>
    <row r="63" spans="1:9" ht="23.25" customHeight="1" x14ac:dyDescent="0.2">
      <c r="A63" s="323">
        <v>51</v>
      </c>
      <c r="B63" s="332" t="s">
        <v>396</v>
      </c>
      <c r="C63" s="401" t="s">
        <v>458</v>
      </c>
      <c r="D63" s="401" t="s">
        <v>404</v>
      </c>
      <c r="E63" s="324" t="s">
        <v>418</v>
      </c>
      <c r="F63" s="401" t="s">
        <v>419</v>
      </c>
      <c r="G63" s="324" t="s">
        <v>420</v>
      </c>
      <c r="H63" s="335" t="s">
        <v>421</v>
      </c>
      <c r="I63" s="326" t="s">
        <v>395</v>
      </c>
    </row>
    <row r="64" spans="1:9" ht="24" customHeight="1" x14ac:dyDescent="0.2">
      <c r="A64" s="327">
        <v>52</v>
      </c>
      <c r="B64" s="328" t="s">
        <v>396</v>
      </c>
      <c r="C64" s="321" t="s">
        <v>458</v>
      </c>
      <c r="D64" s="321" t="s">
        <v>404</v>
      </c>
      <c r="E64" s="329" t="s">
        <v>413</v>
      </c>
      <c r="F64" s="321" t="s">
        <v>422</v>
      </c>
      <c r="G64" s="329" t="s">
        <v>461</v>
      </c>
      <c r="H64" s="334" t="s">
        <v>394</v>
      </c>
      <c r="I64" s="331" t="s">
        <v>395</v>
      </c>
    </row>
    <row r="65" spans="1:9" ht="23.25" customHeight="1" x14ac:dyDescent="0.2">
      <c r="A65" s="323">
        <v>53</v>
      </c>
      <c r="B65" s="404" t="s">
        <v>388</v>
      </c>
      <c r="C65" s="401" t="s">
        <v>462</v>
      </c>
      <c r="D65" s="401" t="s">
        <v>390</v>
      </c>
      <c r="E65" s="324" t="s">
        <v>448</v>
      </c>
      <c r="F65" s="401" t="s">
        <v>449</v>
      </c>
      <c r="G65" s="324" t="s">
        <v>450</v>
      </c>
      <c r="H65" s="325" t="s">
        <v>394</v>
      </c>
      <c r="I65" s="326" t="s">
        <v>395</v>
      </c>
    </row>
    <row r="66" spans="1:9" ht="23.25" customHeight="1" x14ac:dyDescent="0.2">
      <c r="A66" s="327">
        <v>54</v>
      </c>
      <c r="B66" s="333" t="s">
        <v>388</v>
      </c>
      <c r="C66" s="321" t="s">
        <v>462</v>
      </c>
      <c r="D66" s="321" t="s">
        <v>404</v>
      </c>
      <c r="E66" s="329" t="s">
        <v>448</v>
      </c>
      <c r="F66" s="321" t="s">
        <v>449</v>
      </c>
      <c r="G66" s="329" t="s">
        <v>450</v>
      </c>
      <c r="H66" s="334" t="s">
        <v>394</v>
      </c>
      <c r="I66" s="331" t="s">
        <v>395</v>
      </c>
    </row>
    <row r="67" spans="1:9" x14ac:dyDescent="0.2">
      <c r="A67" s="231"/>
      <c r="B67" s="231"/>
      <c r="C67" s="231"/>
      <c r="D67" s="231"/>
      <c r="E67" s="231"/>
      <c r="F67" s="231"/>
      <c r="G67" s="231"/>
      <c r="H67" s="231"/>
      <c r="I67" s="231"/>
    </row>
    <row r="68" spans="1:9" x14ac:dyDescent="0.2">
      <c r="A68" s="231"/>
      <c r="B68" s="231"/>
      <c r="C68" s="231"/>
      <c r="D68" s="231"/>
      <c r="E68" s="231"/>
      <c r="F68" s="231"/>
      <c r="G68" s="231"/>
      <c r="H68" s="231"/>
      <c r="I68" s="231"/>
    </row>
    <row r="69" spans="1:9" x14ac:dyDescent="0.2">
      <c r="A69" s="440" t="s">
        <v>463</v>
      </c>
      <c r="B69" s="416"/>
      <c r="C69" s="416"/>
      <c r="D69" s="416"/>
      <c r="E69" s="416"/>
      <c r="F69" s="416"/>
      <c r="G69" s="416"/>
      <c r="H69" s="416"/>
      <c r="I69" s="416"/>
    </row>
    <row r="70" spans="1:9" x14ac:dyDescent="0.2">
      <c r="A70" s="337" t="s">
        <v>464</v>
      </c>
      <c r="B70" s="231"/>
      <c r="C70" s="444" t="s">
        <v>465</v>
      </c>
      <c r="D70" s="416"/>
      <c r="E70" s="416"/>
      <c r="F70" s="416"/>
      <c r="G70" s="416"/>
      <c r="H70" s="416"/>
      <c r="I70" s="416"/>
    </row>
    <row r="71" spans="1:9" x14ac:dyDescent="0.2">
      <c r="A71" s="403" t="s">
        <v>466</v>
      </c>
      <c r="B71" s="231"/>
      <c r="C71" s="446" t="s">
        <v>467</v>
      </c>
      <c r="D71" s="416"/>
      <c r="E71" s="416"/>
      <c r="F71" s="416"/>
      <c r="G71" s="416"/>
      <c r="H71" s="416"/>
      <c r="I71" s="416"/>
    </row>
    <row r="72" spans="1:9" x14ac:dyDescent="0.2">
      <c r="A72" s="337" t="s">
        <v>468</v>
      </c>
      <c r="B72" s="231"/>
      <c r="C72" s="444" t="s">
        <v>469</v>
      </c>
      <c r="D72" s="416"/>
      <c r="E72" s="416"/>
      <c r="F72" s="416"/>
      <c r="G72" s="416"/>
      <c r="H72" s="416"/>
      <c r="I72" s="416"/>
    </row>
    <row r="73" spans="1:9" x14ac:dyDescent="0.2">
      <c r="A73" s="403" t="s">
        <v>470</v>
      </c>
      <c r="B73" s="231"/>
      <c r="C73" s="446" t="s">
        <v>471</v>
      </c>
      <c r="D73" s="416"/>
      <c r="E73" s="416"/>
      <c r="F73" s="416"/>
      <c r="G73" s="416"/>
      <c r="H73" s="416"/>
      <c r="I73" s="416"/>
    </row>
    <row r="74" spans="1:9" x14ac:dyDescent="0.2">
      <c r="A74" s="337" t="s">
        <v>472</v>
      </c>
      <c r="B74" s="231"/>
      <c r="C74" s="447" t="s">
        <v>473</v>
      </c>
      <c r="D74" s="416"/>
      <c r="E74" s="416"/>
      <c r="F74" s="416"/>
      <c r="G74" s="416"/>
      <c r="H74" s="416"/>
      <c r="I74" s="416"/>
    </row>
    <row r="75" spans="1:9" x14ac:dyDescent="0.2">
      <c r="A75" s="403" t="s">
        <v>474</v>
      </c>
      <c r="B75" s="231"/>
      <c r="C75" s="446" t="s">
        <v>475</v>
      </c>
      <c r="D75" s="416"/>
      <c r="E75" s="416"/>
      <c r="F75" s="416"/>
      <c r="G75" s="416"/>
      <c r="H75" s="416"/>
      <c r="I75" s="416"/>
    </row>
    <row r="76" spans="1:9" x14ac:dyDescent="0.2">
      <c r="A76" s="337" t="s">
        <v>364</v>
      </c>
      <c r="B76" s="231"/>
      <c r="C76" s="444" t="s">
        <v>476</v>
      </c>
      <c r="D76" s="416"/>
      <c r="E76" s="416"/>
      <c r="F76" s="416"/>
      <c r="G76" s="416"/>
      <c r="H76" s="416"/>
      <c r="I76" s="416"/>
    </row>
    <row r="77" spans="1:9" x14ac:dyDescent="0.2">
      <c r="A77" s="403" t="s">
        <v>477</v>
      </c>
      <c r="B77" s="231"/>
      <c r="C77" s="446" t="s">
        <v>478</v>
      </c>
      <c r="D77" s="416"/>
      <c r="E77" s="416"/>
      <c r="F77" s="416"/>
      <c r="G77" s="416"/>
      <c r="H77" s="416"/>
      <c r="I77" s="416"/>
    </row>
    <row r="78" spans="1:9" x14ac:dyDescent="0.2">
      <c r="A78" s="337" t="s">
        <v>479</v>
      </c>
      <c r="B78" s="231"/>
      <c r="C78" s="444" t="s">
        <v>480</v>
      </c>
      <c r="D78" s="416"/>
      <c r="E78" s="416"/>
      <c r="F78" s="416"/>
      <c r="G78" s="416"/>
      <c r="H78" s="416"/>
      <c r="I78" s="416"/>
    </row>
    <row r="79" spans="1:9" x14ac:dyDescent="0.2">
      <c r="A79" s="403" t="s">
        <v>481</v>
      </c>
      <c r="B79" s="231"/>
      <c r="C79" s="446" t="s">
        <v>482</v>
      </c>
      <c r="D79" s="416"/>
      <c r="E79" s="416"/>
      <c r="F79" s="416"/>
      <c r="G79" s="416"/>
      <c r="H79" s="416"/>
      <c r="I79" s="416"/>
    </row>
    <row r="82" spans="1:9" x14ac:dyDescent="0.2">
      <c r="A82" s="441" t="s">
        <v>483</v>
      </c>
      <c r="B82" s="416"/>
      <c r="C82" s="416"/>
      <c r="D82" s="416"/>
      <c r="E82" s="416"/>
      <c r="F82" s="416"/>
      <c r="G82" s="416"/>
      <c r="H82" s="416"/>
      <c r="I82" s="416"/>
    </row>
    <row r="83" spans="1:9" x14ac:dyDescent="0.2">
      <c r="A83" s="448" t="s">
        <v>484</v>
      </c>
      <c r="B83" s="416"/>
      <c r="C83" s="416"/>
      <c r="D83" s="416"/>
      <c r="E83" s="416"/>
      <c r="F83" s="416"/>
      <c r="G83" s="416"/>
      <c r="H83" s="416"/>
      <c r="I83" s="416"/>
    </row>
    <row r="84" spans="1:9" x14ac:dyDescent="0.2">
      <c r="A84" s="231"/>
      <c r="B84" s="231"/>
      <c r="C84" s="231"/>
      <c r="D84" s="231"/>
      <c r="E84" s="231"/>
      <c r="F84" s="231"/>
      <c r="G84" s="231"/>
      <c r="H84" s="231"/>
      <c r="I84" s="231"/>
    </row>
    <row r="85" spans="1:9" x14ac:dyDescent="0.2">
      <c r="A85" s="450" t="s">
        <v>485</v>
      </c>
      <c r="B85" s="416"/>
      <c r="C85" s="416"/>
      <c r="D85" s="402" t="s">
        <v>486</v>
      </c>
      <c r="E85" s="450" t="s">
        <v>487</v>
      </c>
      <c r="F85" s="416"/>
      <c r="G85" s="416"/>
      <c r="H85" s="416"/>
      <c r="I85" s="416"/>
    </row>
    <row r="86" spans="1:9" x14ac:dyDescent="0.2">
      <c r="A86" s="437" t="s">
        <v>464</v>
      </c>
      <c r="B86" s="416"/>
      <c r="C86" s="416"/>
      <c r="D86" s="399" t="s">
        <v>465</v>
      </c>
      <c r="E86" s="437" t="s">
        <v>488</v>
      </c>
      <c r="F86" s="416"/>
      <c r="G86" s="416"/>
      <c r="H86" s="416"/>
      <c r="I86" s="416"/>
    </row>
    <row r="87" spans="1:9" x14ac:dyDescent="0.2">
      <c r="A87" s="442" t="s">
        <v>489</v>
      </c>
      <c r="B87" s="416"/>
      <c r="C87" s="416"/>
      <c r="D87" s="400" t="s">
        <v>465</v>
      </c>
      <c r="E87" s="442" t="s">
        <v>490</v>
      </c>
      <c r="F87" s="416"/>
      <c r="G87" s="416"/>
      <c r="H87" s="416"/>
      <c r="I87" s="416"/>
    </row>
    <row r="88" spans="1:9" x14ac:dyDescent="0.2">
      <c r="A88" s="437" t="s">
        <v>491</v>
      </c>
      <c r="B88" s="416"/>
      <c r="C88" s="416"/>
      <c r="D88" s="399" t="s">
        <v>240</v>
      </c>
      <c r="E88" s="437" t="s">
        <v>492</v>
      </c>
      <c r="F88" s="416"/>
      <c r="G88" s="416"/>
      <c r="H88" s="416"/>
      <c r="I88" s="416"/>
    </row>
    <row r="89" spans="1:9" x14ac:dyDescent="0.2">
      <c r="A89" s="445" t="s">
        <v>493</v>
      </c>
      <c r="B89" s="416"/>
      <c r="C89" s="416"/>
      <c r="D89" s="406" t="s">
        <v>467</v>
      </c>
      <c r="E89" s="442" t="s">
        <v>494</v>
      </c>
      <c r="F89" s="416"/>
      <c r="G89" s="416"/>
      <c r="H89" s="416"/>
      <c r="I89" s="416"/>
    </row>
    <row r="90" spans="1:9" x14ac:dyDescent="0.2">
      <c r="A90" s="437" t="s">
        <v>495</v>
      </c>
      <c r="B90" s="416"/>
      <c r="C90" s="416"/>
      <c r="D90" s="399" t="s">
        <v>469</v>
      </c>
      <c r="E90" s="437" t="s">
        <v>496</v>
      </c>
      <c r="F90" s="416"/>
      <c r="G90" s="416"/>
      <c r="H90" s="416"/>
      <c r="I90" s="416"/>
    </row>
    <row r="91" spans="1:9" x14ac:dyDescent="0.2">
      <c r="A91" s="442" t="s">
        <v>470</v>
      </c>
      <c r="B91" s="416"/>
      <c r="C91" s="416"/>
      <c r="D91" s="400" t="s">
        <v>471</v>
      </c>
      <c r="E91" s="442" t="s">
        <v>497</v>
      </c>
      <c r="F91" s="416"/>
      <c r="G91" s="416"/>
      <c r="H91" s="416"/>
      <c r="I91" s="416"/>
    </row>
    <row r="92" spans="1:9" x14ac:dyDescent="0.2">
      <c r="A92" s="437"/>
      <c r="B92" s="416"/>
      <c r="C92" s="416"/>
      <c r="D92" s="399"/>
      <c r="E92" s="437"/>
      <c r="F92" s="416"/>
      <c r="G92" s="416"/>
      <c r="H92" s="416"/>
      <c r="I92" s="416"/>
    </row>
    <row r="93" spans="1:9" x14ac:dyDescent="0.2">
      <c r="A93" s="452" t="s">
        <v>498</v>
      </c>
      <c r="B93" s="416"/>
      <c r="C93" s="416"/>
      <c r="D93" s="398" t="s">
        <v>499</v>
      </c>
      <c r="E93" s="442" t="s">
        <v>500</v>
      </c>
      <c r="F93" s="416"/>
      <c r="G93" s="416"/>
      <c r="H93" s="416"/>
      <c r="I93" s="416"/>
    </row>
    <row r="94" spans="1:9" x14ac:dyDescent="0.2">
      <c r="A94" s="443" t="s">
        <v>501</v>
      </c>
      <c r="B94" s="416"/>
      <c r="C94" s="416"/>
      <c r="D94" s="405" t="s">
        <v>502</v>
      </c>
      <c r="E94" s="437" t="s">
        <v>503</v>
      </c>
      <c r="F94" s="416"/>
      <c r="G94" s="416"/>
      <c r="H94" s="416"/>
      <c r="I94" s="416"/>
    </row>
    <row r="95" spans="1:9" x14ac:dyDescent="0.2">
      <c r="A95" s="442" t="s">
        <v>504</v>
      </c>
      <c r="B95" s="416"/>
      <c r="C95" s="416"/>
      <c r="D95" s="400" t="s">
        <v>505</v>
      </c>
      <c r="E95" s="442" t="s">
        <v>506</v>
      </c>
      <c r="F95" s="416"/>
      <c r="G95" s="416"/>
      <c r="H95" s="416"/>
      <c r="I95" s="416"/>
    </row>
    <row r="96" spans="1:9" x14ac:dyDescent="0.2">
      <c r="A96" s="437" t="s">
        <v>507</v>
      </c>
      <c r="B96" s="416"/>
      <c r="C96" s="416"/>
      <c r="D96" s="399" t="s">
        <v>508</v>
      </c>
      <c r="E96" s="437" t="s">
        <v>509</v>
      </c>
      <c r="F96" s="416"/>
      <c r="G96" s="416"/>
      <c r="H96" s="416"/>
      <c r="I96" s="416"/>
    </row>
    <row r="97" spans="1:9" x14ac:dyDescent="0.2">
      <c r="A97" s="442"/>
      <c r="B97" s="416"/>
      <c r="C97" s="416"/>
      <c r="D97" s="400"/>
      <c r="E97" s="442"/>
      <c r="F97" s="416"/>
      <c r="G97" s="416"/>
      <c r="H97" s="416"/>
      <c r="I97" s="416"/>
    </row>
    <row r="98" spans="1:9" x14ac:dyDescent="0.2">
      <c r="A98" s="437" t="s">
        <v>510</v>
      </c>
      <c r="B98" s="416"/>
      <c r="C98" s="416"/>
      <c r="D98" s="399" t="s">
        <v>511</v>
      </c>
      <c r="E98" s="437" t="s">
        <v>512</v>
      </c>
      <c r="F98" s="416"/>
      <c r="G98" s="416"/>
      <c r="H98" s="416"/>
      <c r="I98" s="416"/>
    </row>
    <row r="99" spans="1:9" x14ac:dyDescent="0.2">
      <c r="A99" s="452" t="s">
        <v>513</v>
      </c>
      <c r="B99" s="416"/>
      <c r="C99" s="416"/>
      <c r="D99" s="398" t="s">
        <v>514</v>
      </c>
      <c r="E99" s="442" t="s">
        <v>515</v>
      </c>
      <c r="F99" s="416"/>
      <c r="G99" s="416"/>
      <c r="H99" s="416"/>
      <c r="I99" s="416"/>
    </row>
    <row r="100" spans="1:9" x14ac:dyDescent="0.2">
      <c r="A100" s="231"/>
      <c r="B100" s="231"/>
      <c r="C100" s="231"/>
      <c r="D100" s="231"/>
      <c r="E100" s="231"/>
      <c r="F100" s="231"/>
      <c r="G100" s="231"/>
      <c r="H100" s="231"/>
      <c r="I100" s="231"/>
    </row>
    <row r="101" spans="1:9" x14ac:dyDescent="0.2">
      <c r="A101" s="231"/>
      <c r="B101" s="231"/>
      <c r="C101" s="231"/>
      <c r="D101" s="231"/>
      <c r="E101" s="231"/>
      <c r="F101" s="231"/>
      <c r="G101" s="231"/>
      <c r="H101" s="231"/>
      <c r="I101" s="231"/>
    </row>
    <row r="102" spans="1:9" x14ac:dyDescent="0.2">
      <c r="A102" s="453" t="s">
        <v>516</v>
      </c>
      <c r="B102" s="416"/>
      <c r="C102" s="416"/>
      <c r="D102" s="416"/>
      <c r="E102" s="416"/>
      <c r="F102" s="416"/>
      <c r="G102" s="416"/>
      <c r="H102" s="416"/>
      <c r="I102" s="416"/>
    </row>
    <row r="103" spans="1:9" x14ac:dyDescent="0.2">
      <c r="A103" s="437" t="s">
        <v>517</v>
      </c>
      <c r="B103" s="416"/>
      <c r="C103" s="416"/>
      <c r="D103" s="416"/>
      <c r="E103" s="416"/>
      <c r="F103" s="416"/>
      <c r="G103" s="416"/>
      <c r="H103" s="416"/>
      <c r="I103" s="416"/>
    </row>
    <row r="104" spans="1:9" x14ac:dyDescent="0.2">
      <c r="A104" s="442" t="s">
        <v>518</v>
      </c>
      <c r="B104" s="416"/>
      <c r="C104" s="416"/>
      <c r="D104" s="416"/>
      <c r="E104" s="416"/>
      <c r="F104" s="416"/>
      <c r="G104" s="416"/>
      <c r="H104" s="416"/>
      <c r="I104" s="416"/>
    </row>
    <row r="105" spans="1:9" x14ac:dyDescent="0.2">
      <c r="A105" s="437" t="s">
        <v>519</v>
      </c>
      <c r="B105" s="416"/>
      <c r="C105" s="416"/>
      <c r="D105" s="416"/>
      <c r="E105" s="416"/>
      <c r="F105" s="416"/>
      <c r="G105" s="416"/>
      <c r="H105" s="416"/>
      <c r="I105" s="416"/>
    </row>
    <row r="106" spans="1:9" x14ac:dyDescent="0.2">
      <c r="A106" s="442" t="s">
        <v>520</v>
      </c>
      <c r="B106" s="416"/>
      <c r="C106" s="416"/>
      <c r="D106" s="416"/>
      <c r="E106" s="416"/>
      <c r="F106" s="416"/>
      <c r="G106" s="416"/>
      <c r="H106" s="416"/>
      <c r="I106" s="416"/>
    </row>
    <row r="107" spans="1:9" x14ac:dyDescent="0.2">
      <c r="A107" s="437" t="s">
        <v>521</v>
      </c>
      <c r="B107" s="416"/>
      <c r="C107" s="416"/>
      <c r="D107" s="416"/>
      <c r="E107" s="416"/>
      <c r="F107" s="416"/>
      <c r="G107" s="416"/>
      <c r="H107" s="416"/>
      <c r="I107" s="416"/>
    </row>
    <row r="108" spans="1:9" x14ac:dyDescent="0.2">
      <c r="A108" s="442" t="s">
        <v>522</v>
      </c>
      <c r="B108" s="416"/>
      <c r="C108" s="416"/>
      <c r="D108" s="416"/>
      <c r="E108" s="416"/>
      <c r="F108" s="416"/>
      <c r="G108" s="416"/>
      <c r="H108" s="416"/>
      <c r="I108" s="416"/>
    </row>
    <row r="109" spans="1:9" x14ac:dyDescent="0.2">
      <c r="A109" s="437" t="s">
        <v>523</v>
      </c>
      <c r="B109" s="416"/>
      <c r="C109" s="416"/>
      <c r="D109" s="416"/>
      <c r="E109" s="416"/>
      <c r="F109" s="416"/>
      <c r="G109" s="416"/>
      <c r="H109" s="416"/>
      <c r="I109" s="416"/>
    </row>
    <row r="110" spans="1:9" x14ac:dyDescent="0.2">
      <c r="A110" s="231"/>
      <c r="B110" s="231"/>
      <c r="C110" s="231"/>
      <c r="D110" s="231"/>
      <c r="E110" s="231"/>
      <c r="F110" s="231"/>
      <c r="G110" s="231"/>
      <c r="H110" s="231"/>
      <c r="I110" s="231"/>
    </row>
    <row r="111" spans="1:9" x14ac:dyDescent="0.2">
      <c r="A111" s="231"/>
      <c r="B111" s="231"/>
      <c r="C111" s="231"/>
      <c r="D111" s="231"/>
      <c r="E111" s="231"/>
      <c r="F111" s="231"/>
      <c r="G111" s="231"/>
      <c r="H111" s="231"/>
      <c r="I111" s="231"/>
    </row>
    <row r="114" spans="1:9" x14ac:dyDescent="0.2">
      <c r="A114" s="439" t="s">
        <v>524</v>
      </c>
      <c r="B114" s="416"/>
      <c r="C114" s="416"/>
      <c r="D114" s="416"/>
      <c r="E114" s="416"/>
      <c r="F114" s="416"/>
      <c r="G114" s="416"/>
      <c r="H114" s="416"/>
      <c r="I114" s="416"/>
    </row>
    <row r="115" spans="1:9" x14ac:dyDescent="0.2">
      <c r="A115" s="338"/>
      <c r="B115" s="338"/>
      <c r="C115" s="338"/>
      <c r="D115" s="338"/>
      <c r="E115" s="338"/>
      <c r="F115" s="338"/>
      <c r="G115" s="338"/>
      <c r="H115" s="338"/>
      <c r="I115" s="338"/>
    </row>
    <row r="116" spans="1:9" x14ac:dyDescent="0.2">
      <c r="A116" s="436" t="s">
        <v>525</v>
      </c>
      <c r="B116" s="416"/>
      <c r="C116" s="416"/>
      <c r="D116" s="416"/>
      <c r="E116" s="416"/>
      <c r="F116" s="416"/>
      <c r="G116" s="416"/>
      <c r="H116" s="416"/>
      <c r="I116" s="416"/>
    </row>
    <row r="117" spans="1:9" x14ac:dyDescent="0.2">
      <c r="A117" s="434" t="s">
        <v>526</v>
      </c>
      <c r="B117" s="416"/>
      <c r="C117" s="416"/>
      <c r="D117" s="416"/>
      <c r="E117" s="416"/>
      <c r="F117" s="416"/>
      <c r="G117" s="416"/>
      <c r="H117" s="416"/>
      <c r="I117" s="416"/>
    </row>
    <row r="118" spans="1:9" x14ac:dyDescent="0.2">
      <c r="A118" s="434" t="s">
        <v>527</v>
      </c>
      <c r="B118" s="416"/>
      <c r="C118" s="416"/>
      <c r="D118" s="416"/>
      <c r="E118" s="416"/>
      <c r="F118" s="416"/>
      <c r="G118" s="416"/>
      <c r="H118" s="416"/>
      <c r="I118" s="416"/>
    </row>
    <row r="119" spans="1:9" x14ac:dyDescent="0.2">
      <c r="A119" s="434" t="s">
        <v>528</v>
      </c>
      <c r="B119" s="416"/>
      <c r="C119" s="416"/>
      <c r="D119" s="416"/>
      <c r="E119" s="416"/>
      <c r="F119" s="416"/>
      <c r="G119" s="416"/>
      <c r="H119" s="416"/>
      <c r="I119" s="416"/>
    </row>
    <row r="120" spans="1:9" x14ac:dyDescent="0.2">
      <c r="A120" s="434" t="s">
        <v>529</v>
      </c>
      <c r="B120" s="416"/>
      <c r="C120" s="416"/>
      <c r="D120" s="416"/>
      <c r="E120" s="416"/>
      <c r="F120" s="416"/>
      <c r="G120" s="416"/>
      <c r="H120" s="416"/>
      <c r="I120" s="416"/>
    </row>
    <row r="121" spans="1:9" x14ac:dyDescent="0.2">
      <c r="A121" s="434"/>
      <c r="B121" s="416"/>
      <c r="C121" s="416"/>
      <c r="D121" s="416"/>
      <c r="E121" s="416"/>
      <c r="F121" s="416"/>
      <c r="G121" s="416"/>
      <c r="H121" s="416"/>
      <c r="I121" s="416"/>
    </row>
    <row r="122" spans="1:9" x14ac:dyDescent="0.2">
      <c r="A122" s="434" t="s">
        <v>530</v>
      </c>
      <c r="B122" s="416"/>
      <c r="C122" s="416"/>
      <c r="D122" s="416"/>
      <c r="E122" s="416"/>
      <c r="F122" s="416"/>
      <c r="G122" s="416"/>
      <c r="H122" s="416"/>
      <c r="I122" s="416"/>
    </row>
    <row r="123" spans="1:9" x14ac:dyDescent="0.2">
      <c r="A123" s="434" t="s">
        <v>531</v>
      </c>
      <c r="B123" s="416"/>
      <c r="C123" s="416"/>
      <c r="D123" s="416"/>
      <c r="E123" s="416"/>
      <c r="F123" s="416"/>
      <c r="G123" s="416"/>
      <c r="H123" s="416"/>
      <c r="I123" s="416"/>
    </row>
    <row r="124" spans="1:9" x14ac:dyDescent="0.2">
      <c r="A124" s="434" t="s">
        <v>532</v>
      </c>
      <c r="B124" s="416"/>
      <c r="C124" s="416"/>
      <c r="D124" s="416"/>
      <c r="E124" s="416"/>
      <c r="F124" s="416"/>
      <c r="G124" s="416"/>
      <c r="H124" s="416"/>
      <c r="I124" s="416"/>
    </row>
    <row r="125" spans="1:9" x14ac:dyDescent="0.2">
      <c r="A125" s="338"/>
      <c r="B125" s="338"/>
      <c r="C125" s="338"/>
      <c r="D125" s="338"/>
      <c r="E125" s="338"/>
      <c r="F125" s="338"/>
      <c r="G125" s="338"/>
      <c r="H125" s="338"/>
      <c r="I125" s="338"/>
    </row>
    <row r="126" spans="1:9" x14ac:dyDescent="0.2">
      <c r="A126" s="436" t="s">
        <v>533</v>
      </c>
      <c r="B126" s="416"/>
      <c r="C126" s="416"/>
      <c r="D126" s="416"/>
      <c r="E126" s="416"/>
      <c r="F126" s="416"/>
      <c r="G126" s="416"/>
      <c r="H126" s="416"/>
      <c r="I126" s="416"/>
    </row>
    <row r="127" spans="1:9" x14ac:dyDescent="0.2">
      <c r="A127" s="434" t="s">
        <v>534</v>
      </c>
      <c r="B127" s="416"/>
      <c r="C127" s="416"/>
      <c r="D127" s="416"/>
      <c r="E127" s="416"/>
      <c r="F127" s="416"/>
      <c r="G127" s="416"/>
      <c r="H127" s="416"/>
      <c r="I127" s="416"/>
    </row>
    <row r="128" spans="1:9" x14ac:dyDescent="0.2">
      <c r="A128" s="434" t="s">
        <v>535</v>
      </c>
      <c r="B128" s="416"/>
      <c r="C128" s="416"/>
      <c r="D128" s="416"/>
      <c r="E128" s="416"/>
      <c r="F128" s="416"/>
      <c r="G128" s="416"/>
      <c r="H128" s="416"/>
      <c r="I128" s="416"/>
    </row>
    <row r="129" spans="1:9" x14ac:dyDescent="0.2">
      <c r="A129" s="434" t="s">
        <v>536</v>
      </c>
      <c r="B129" s="416"/>
      <c r="C129" s="416"/>
      <c r="D129" s="416"/>
      <c r="E129" s="416"/>
      <c r="F129" s="416"/>
      <c r="G129" s="416"/>
      <c r="H129" s="416"/>
      <c r="I129" s="416"/>
    </row>
    <row r="130" spans="1:9" x14ac:dyDescent="0.2">
      <c r="A130" s="434"/>
      <c r="B130" s="416"/>
      <c r="C130" s="416"/>
      <c r="D130" s="416"/>
      <c r="E130" s="416"/>
      <c r="F130" s="416"/>
      <c r="G130" s="416"/>
      <c r="H130" s="416"/>
      <c r="I130" s="416"/>
    </row>
    <row r="131" spans="1:9" x14ac:dyDescent="0.2">
      <c r="A131" s="434" t="s">
        <v>537</v>
      </c>
      <c r="B131" s="416"/>
      <c r="C131" s="416"/>
      <c r="D131" s="416"/>
      <c r="E131" s="416"/>
      <c r="F131" s="416"/>
      <c r="G131" s="416"/>
      <c r="H131" s="416"/>
      <c r="I131" s="416"/>
    </row>
    <row r="132" spans="1:9" x14ac:dyDescent="0.2">
      <c r="A132" s="434" t="s">
        <v>538</v>
      </c>
      <c r="B132" s="416"/>
      <c r="C132" s="416"/>
      <c r="D132" s="416"/>
      <c r="E132" s="416"/>
      <c r="F132" s="416"/>
      <c r="G132" s="416"/>
      <c r="H132" s="416"/>
      <c r="I132" s="416"/>
    </row>
    <row r="133" spans="1:9" x14ac:dyDescent="0.2">
      <c r="A133" s="434" t="s">
        <v>539</v>
      </c>
      <c r="B133" s="416"/>
      <c r="C133" s="416"/>
      <c r="D133" s="416"/>
      <c r="E133" s="416"/>
      <c r="F133" s="416"/>
      <c r="G133" s="416"/>
      <c r="H133" s="416"/>
      <c r="I133" s="416"/>
    </row>
    <row r="134" spans="1:9" x14ac:dyDescent="0.2">
      <c r="A134" s="434" t="s">
        <v>540</v>
      </c>
      <c r="B134" s="416"/>
      <c r="C134" s="416"/>
      <c r="D134" s="416"/>
      <c r="E134" s="416"/>
      <c r="F134" s="416"/>
      <c r="G134" s="416"/>
      <c r="H134" s="416"/>
      <c r="I134" s="416"/>
    </row>
    <row r="135" spans="1:9" x14ac:dyDescent="0.2">
      <c r="A135" s="434" t="s">
        <v>541</v>
      </c>
      <c r="B135" s="416"/>
      <c r="C135" s="416"/>
      <c r="D135" s="416"/>
      <c r="E135" s="416"/>
      <c r="F135" s="416"/>
      <c r="G135" s="416"/>
      <c r="H135" s="416"/>
      <c r="I135" s="416"/>
    </row>
    <row r="136" spans="1:9" x14ac:dyDescent="0.2">
      <c r="A136" s="434" t="s">
        <v>542</v>
      </c>
      <c r="B136" s="416"/>
      <c r="C136" s="416"/>
      <c r="D136" s="416"/>
      <c r="E136" s="416"/>
      <c r="F136" s="416"/>
      <c r="G136" s="416"/>
      <c r="H136" s="416"/>
      <c r="I136" s="416"/>
    </row>
    <row r="137" spans="1:9" x14ac:dyDescent="0.2">
      <c r="A137" s="434"/>
      <c r="B137" s="416"/>
      <c r="C137" s="416"/>
      <c r="D137" s="416"/>
      <c r="E137" s="416"/>
      <c r="F137" s="416"/>
      <c r="G137" s="416"/>
      <c r="H137" s="416"/>
      <c r="I137" s="416"/>
    </row>
    <row r="138" spans="1:9" x14ac:dyDescent="0.2">
      <c r="A138" s="434" t="s">
        <v>543</v>
      </c>
      <c r="B138" s="416"/>
      <c r="C138" s="416"/>
      <c r="D138" s="416"/>
      <c r="E138" s="416"/>
      <c r="F138" s="416"/>
      <c r="G138" s="416"/>
      <c r="H138" s="416"/>
      <c r="I138" s="416"/>
    </row>
    <row r="139" spans="1:9" x14ac:dyDescent="0.2">
      <c r="A139" s="434" t="s">
        <v>544</v>
      </c>
      <c r="B139" s="416"/>
      <c r="C139" s="416"/>
      <c r="D139" s="416"/>
      <c r="E139" s="416"/>
      <c r="F139" s="416"/>
      <c r="G139" s="416"/>
      <c r="H139" s="416"/>
      <c r="I139" s="416"/>
    </row>
    <row r="140" spans="1:9" x14ac:dyDescent="0.2">
      <c r="A140" s="338"/>
      <c r="B140" s="338"/>
      <c r="C140" s="338"/>
      <c r="D140" s="338"/>
      <c r="E140" s="338"/>
      <c r="F140" s="338"/>
      <c r="G140" s="338"/>
      <c r="H140" s="338"/>
      <c r="I140" s="338"/>
    </row>
    <row r="141" spans="1:9" x14ac:dyDescent="0.2">
      <c r="A141" s="436" t="s">
        <v>545</v>
      </c>
      <c r="B141" s="416"/>
      <c r="C141" s="416"/>
      <c r="D141" s="416"/>
      <c r="E141" s="416"/>
      <c r="F141" s="416"/>
      <c r="G141" s="416"/>
      <c r="H141" s="416"/>
      <c r="I141" s="416"/>
    </row>
    <row r="142" spans="1:9" x14ac:dyDescent="0.2">
      <c r="A142" s="434" t="s">
        <v>546</v>
      </c>
      <c r="B142" s="416"/>
      <c r="C142" s="416"/>
      <c r="D142" s="416"/>
      <c r="E142" s="416"/>
      <c r="F142" s="416"/>
      <c r="G142" s="416"/>
      <c r="H142" s="416"/>
      <c r="I142" s="416"/>
    </row>
    <row r="143" spans="1:9" x14ac:dyDescent="0.2">
      <c r="A143" s="434" t="s">
        <v>547</v>
      </c>
      <c r="B143" s="416"/>
      <c r="C143" s="416"/>
      <c r="D143" s="416"/>
      <c r="E143" s="416"/>
      <c r="F143" s="416"/>
      <c r="G143" s="416"/>
      <c r="H143" s="416"/>
      <c r="I143" s="416"/>
    </row>
    <row r="144" spans="1:9" x14ac:dyDescent="0.2">
      <c r="A144" s="434" t="s">
        <v>548</v>
      </c>
      <c r="B144" s="416"/>
      <c r="C144" s="416"/>
      <c r="D144" s="416"/>
      <c r="E144" s="416"/>
      <c r="F144" s="416"/>
      <c r="G144" s="416"/>
      <c r="H144" s="416"/>
      <c r="I144" s="416"/>
    </row>
    <row r="145" spans="1:9" x14ac:dyDescent="0.2">
      <c r="A145" s="434"/>
      <c r="B145" s="416"/>
      <c r="C145" s="416"/>
      <c r="D145" s="416"/>
      <c r="E145" s="416"/>
      <c r="F145" s="416"/>
      <c r="G145" s="416"/>
      <c r="H145" s="416"/>
      <c r="I145" s="416"/>
    </row>
    <row r="146" spans="1:9" x14ac:dyDescent="0.2">
      <c r="A146" s="434" t="s">
        <v>549</v>
      </c>
      <c r="B146" s="416"/>
      <c r="C146" s="416"/>
      <c r="D146" s="416"/>
      <c r="E146" s="416"/>
      <c r="F146" s="416"/>
      <c r="G146" s="416"/>
      <c r="H146" s="416"/>
      <c r="I146" s="416"/>
    </row>
    <row r="147" spans="1:9" x14ac:dyDescent="0.2">
      <c r="A147" s="434" t="s">
        <v>550</v>
      </c>
      <c r="B147" s="416"/>
      <c r="C147" s="416"/>
      <c r="D147" s="416"/>
      <c r="E147" s="416"/>
      <c r="F147" s="416"/>
      <c r="G147" s="416"/>
      <c r="H147" s="416"/>
      <c r="I147" s="416"/>
    </row>
    <row r="148" spans="1:9" x14ac:dyDescent="0.2">
      <c r="A148" s="434"/>
      <c r="B148" s="416"/>
      <c r="C148" s="416"/>
      <c r="D148" s="416"/>
      <c r="E148" s="416"/>
      <c r="F148" s="416"/>
      <c r="G148" s="416"/>
      <c r="H148" s="416"/>
      <c r="I148" s="416"/>
    </row>
    <row r="149" spans="1:9" x14ac:dyDescent="0.2">
      <c r="A149" s="434" t="s">
        <v>551</v>
      </c>
      <c r="B149" s="416"/>
      <c r="C149" s="416"/>
      <c r="D149" s="416"/>
      <c r="E149" s="416"/>
      <c r="F149" s="416"/>
      <c r="G149" s="416"/>
      <c r="H149" s="416"/>
      <c r="I149" s="416"/>
    </row>
    <row r="150" spans="1:9" x14ac:dyDescent="0.2">
      <c r="A150" s="434" t="s">
        <v>552</v>
      </c>
      <c r="B150" s="416"/>
      <c r="C150" s="416"/>
      <c r="D150" s="416"/>
      <c r="E150" s="416"/>
      <c r="F150" s="416"/>
      <c r="G150" s="416"/>
      <c r="H150" s="416"/>
      <c r="I150" s="416"/>
    </row>
    <row r="151" spans="1:9" x14ac:dyDescent="0.2">
      <c r="A151" s="434" t="s">
        <v>553</v>
      </c>
      <c r="B151" s="416"/>
      <c r="C151" s="416"/>
      <c r="D151" s="416"/>
      <c r="E151" s="416"/>
      <c r="F151" s="416"/>
      <c r="G151" s="416"/>
      <c r="H151" s="416"/>
      <c r="I151" s="416"/>
    </row>
    <row r="152" spans="1:9" x14ac:dyDescent="0.2">
      <c r="A152" s="434" t="s">
        <v>554</v>
      </c>
      <c r="B152" s="416"/>
      <c r="C152" s="416"/>
      <c r="D152" s="416"/>
      <c r="E152" s="416"/>
      <c r="F152" s="416"/>
      <c r="G152" s="416"/>
      <c r="H152" s="416"/>
      <c r="I152" s="416"/>
    </row>
    <row r="153" spans="1:9" x14ac:dyDescent="0.2">
      <c r="A153" s="434" t="s">
        <v>555</v>
      </c>
      <c r="B153" s="416"/>
      <c r="C153" s="416"/>
      <c r="D153" s="416"/>
      <c r="E153" s="416"/>
      <c r="F153" s="416"/>
      <c r="G153" s="416"/>
      <c r="H153" s="416"/>
      <c r="I153" s="416"/>
    </row>
    <row r="154" spans="1:9" x14ac:dyDescent="0.2">
      <c r="A154" s="434"/>
      <c r="B154" s="416"/>
      <c r="C154" s="416"/>
      <c r="D154" s="416"/>
      <c r="E154" s="416"/>
      <c r="F154" s="416"/>
      <c r="G154" s="416"/>
      <c r="H154" s="416"/>
      <c r="I154" s="416"/>
    </row>
    <row r="155" spans="1:9" x14ac:dyDescent="0.2">
      <c r="A155" s="434" t="s">
        <v>556</v>
      </c>
      <c r="B155" s="416"/>
      <c r="C155" s="416"/>
      <c r="D155" s="416"/>
      <c r="E155" s="416"/>
      <c r="F155" s="416"/>
      <c r="G155" s="416"/>
      <c r="H155" s="416"/>
      <c r="I155" s="416"/>
    </row>
    <row r="156" spans="1:9" x14ac:dyDescent="0.2">
      <c r="A156" s="338"/>
      <c r="B156" s="338"/>
      <c r="C156" s="338"/>
      <c r="D156" s="338"/>
      <c r="E156" s="338"/>
      <c r="F156" s="338"/>
      <c r="G156" s="338"/>
      <c r="H156" s="338"/>
      <c r="I156" s="338"/>
    </row>
    <row r="157" spans="1:9" x14ac:dyDescent="0.2">
      <c r="A157" s="436" t="s">
        <v>557</v>
      </c>
      <c r="B157" s="416"/>
      <c r="C157" s="416"/>
      <c r="D157" s="416"/>
      <c r="E157" s="416"/>
      <c r="F157" s="416"/>
      <c r="G157" s="416"/>
      <c r="H157" s="416"/>
      <c r="I157" s="416"/>
    </row>
    <row r="158" spans="1:9" x14ac:dyDescent="0.2">
      <c r="A158" s="434" t="s">
        <v>558</v>
      </c>
      <c r="B158" s="416"/>
      <c r="C158" s="416"/>
      <c r="D158" s="416"/>
      <c r="E158" s="416"/>
      <c r="F158" s="416"/>
      <c r="G158" s="416"/>
      <c r="H158" s="416"/>
      <c r="I158" s="416"/>
    </row>
    <row r="159" spans="1:9" x14ac:dyDescent="0.2">
      <c r="A159" s="434"/>
      <c r="B159" s="416"/>
      <c r="C159" s="416"/>
      <c r="D159" s="416"/>
      <c r="E159" s="416"/>
      <c r="F159" s="416"/>
      <c r="G159" s="416"/>
      <c r="H159" s="416"/>
      <c r="I159" s="416"/>
    </row>
    <row r="160" spans="1:9" x14ac:dyDescent="0.2">
      <c r="A160" s="434" t="s">
        <v>559</v>
      </c>
      <c r="B160" s="416"/>
      <c r="C160" s="416"/>
      <c r="D160" s="416"/>
      <c r="E160" s="416"/>
      <c r="F160" s="416"/>
      <c r="G160" s="416"/>
      <c r="H160" s="416"/>
      <c r="I160" s="416"/>
    </row>
    <row r="161" spans="1:9" x14ac:dyDescent="0.2">
      <c r="A161" s="434" t="s">
        <v>560</v>
      </c>
      <c r="B161" s="416"/>
      <c r="C161" s="416"/>
      <c r="D161" s="416"/>
      <c r="E161" s="416"/>
      <c r="F161" s="416"/>
      <c r="G161" s="416"/>
      <c r="H161" s="416"/>
      <c r="I161" s="416"/>
    </row>
    <row r="162" spans="1:9" x14ac:dyDescent="0.2">
      <c r="A162" s="434" t="s">
        <v>561</v>
      </c>
      <c r="B162" s="416"/>
      <c r="C162" s="416"/>
      <c r="D162" s="416"/>
      <c r="E162" s="416"/>
      <c r="F162" s="416"/>
      <c r="G162" s="416"/>
      <c r="H162" s="416"/>
      <c r="I162" s="416"/>
    </row>
    <row r="163" spans="1:9" x14ac:dyDescent="0.2">
      <c r="A163" s="434"/>
      <c r="B163" s="416"/>
      <c r="C163" s="416"/>
      <c r="D163" s="416"/>
      <c r="E163" s="416"/>
      <c r="F163" s="416"/>
      <c r="G163" s="416"/>
      <c r="H163" s="416"/>
      <c r="I163" s="416"/>
    </row>
    <row r="164" spans="1:9" x14ac:dyDescent="0.2">
      <c r="A164" s="434" t="s">
        <v>562</v>
      </c>
      <c r="B164" s="416"/>
      <c r="C164" s="416"/>
      <c r="D164" s="416"/>
      <c r="E164" s="416"/>
      <c r="F164" s="416"/>
      <c r="G164" s="416"/>
      <c r="H164" s="416"/>
      <c r="I164" s="416"/>
    </row>
    <row r="165" spans="1:9" x14ac:dyDescent="0.2">
      <c r="A165" s="434" t="s">
        <v>563</v>
      </c>
      <c r="B165" s="416"/>
      <c r="C165" s="416"/>
      <c r="D165" s="416"/>
      <c r="E165" s="416"/>
      <c r="F165" s="416"/>
      <c r="G165" s="416"/>
      <c r="H165" s="416"/>
      <c r="I165" s="416"/>
    </row>
    <row r="166" spans="1:9" x14ac:dyDescent="0.2">
      <c r="A166" s="434" t="s">
        <v>564</v>
      </c>
      <c r="B166" s="416"/>
      <c r="C166" s="416"/>
      <c r="D166" s="416"/>
      <c r="E166" s="416"/>
      <c r="F166" s="416"/>
      <c r="G166" s="416"/>
      <c r="H166" s="416"/>
      <c r="I166" s="416"/>
    </row>
    <row r="167" spans="1:9" x14ac:dyDescent="0.2">
      <c r="A167" s="434" t="s">
        <v>565</v>
      </c>
      <c r="B167" s="416"/>
      <c r="C167" s="416"/>
      <c r="D167" s="416"/>
      <c r="E167" s="416"/>
      <c r="F167" s="416"/>
      <c r="G167" s="416"/>
      <c r="H167" s="416"/>
      <c r="I167" s="416"/>
    </row>
    <row r="168" spans="1:9" x14ac:dyDescent="0.2">
      <c r="A168" s="434"/>
      <c r="B168" s="416"/>
      <c r="C168" s="416"/>
      <c r="D168" s="416"/>
      <c r="E168" s="416"/>
      <c r="F168" s="416"/>
      <c r="G168" s="416"/>
      <c r="H168" s="416"/>
      <c r="I168" s="416"/>
    </row>
    <row r="169" spans="1:9" x14ac:dyDescent="0.2">
      <c r="A169" s="434" t="s">
        <v>566</v>
      </c>
      <c r="B169" s="416"/>
      <c r="C169" s="416"/>
      <c r="D169" s="416"/>
      <c r="E169" s="416"/>
      <c r="F169" s="416"/>
      <c r="G169" s="416"/>
      <c r="H169" s="416"/>
      <c r="I169" s="416"/>
    </row>
    <row r="170" spans="1:9" x14ac:dyDescent="0.2">
      <c r="A170" s="434" t="s">
        <v>567</v>
      </c>
      <c r="B170" s="416"/>
      <c r="C170" s="416"/>
      <c r="D170" s="416"/>
      <c r="E170" s="416"/>
      <c r="F170" s="416"/>
      <c r="G170" s="416"/>
      <c r="H170" s="416"/>
      <c r="I170" s="416"/>
    </row>
    <row r="171" spans="1:9" x14ac:dyDescent="0.2">
      <c r="A171" s="434" t="s">
        <v>568</v>
      </c>
      <c r="B171" s="416"/>
      <c r="C171" s="416"/>
      <c r="D171" s="416"/>
      <c r="E171" s="416"/>
      <c r="F171" s="416"/>
      <c r="G171" s="416"/>
      <c r="H171" s="416"/>
      <c r="I171" s="416"/>
    </row>
    <row r="172" spans="1:9" x14ac:dyDescent="0.2">
      <c r="A172" s="434" t="s">
        <v>569</v>
      </c>
      <c r="B172" s="416"/>
      <c r="C172" s="416"/>
      <c r="D172" s="416"/>
      <c r="E172" s="416"/>
      <c r="F172" s="416"/>
      <c r="G172" s="416"/>
      <c r="H172" s="416"/>
      <c r="I172" s="416"/>
    </row>
    <row r="173" spans="1:9" x14ac:dyDescent="0.2">
      <c r="A173" s="434" t="s">
        <v>570</v>
      </c>
      <c r="B173" s="416"/>
      <c r="C173" s="416"/>
      <c r="D173" s="416"/>
      <c r="E173" s="416"/>
      <c r="F173" s="416"/>
      <c r="G173" s="416"/>
      <c r="H173" s="416"/>
      <c r="I173" s="416"/>
    </row>
    <row r="174" spans="1:9" x14ac:dyDescent="0.2">
      <c r="A174" s="434" t="s">
        <v>571</v>
      </c>
      <c r="B174" s="416"/>
      <c r="C174" s="416"/>
      <c r="D174" s="416"/>
      <c r="E174" s="416"/>
      <c r="F174" s="416"/>
      <c r="G174" s="416"/>
      <c r="H174" s="416"/>
      <c r="I174" s="416"/>
    </row>
    <row r="175" spans="1:9" x14ac:dyDescent="0.2">
      <c r="A175" s="434"/>
      <c r="B175" s="416"/>
      <c r="C175" s="416"/>
      <c r="D175" s="416"/>
      <c r="E175" s="416"/>
      <c r="F175" s="416"/>
      <c r="G175" s="416"/>
      <c r="H175" s="416"/>
      <c r="I175" s="416"/>
    </row>
    <row r="176" spans="1:9" x14ac:dyDescent="0.2">
      <c r="A176" s="434" t="s">
        <v>572</v>
      </c>
      <c r="B176" s="416"/>
      <c r="C176" s="416"/>
      <c r="D176" s="416"/>
      <c r="E176" s="416"/>
      <c r="F176" s="416"/>
      <c r="G176" s="416"/>
      <c r="H176" s="416"/>
      <c r="I176" s="416"/>
    </row>
    <row r="177" spans="1:9" x14ac:dyDescent="0.2">
      <c r="A177" s="434" t="s">
        <v>573</v>
      </c>
      <c r="B177" s="416"/>
      <c r="C177" s="416"/>
      <c r="D177" s="416"/>
      <c r="E177" s="416"/>
      <c r="F177" s="416"/>
      <c r="G177" s="416"/>
      <c r="H177" s="416"/>
      <c r="I177" s="416"/>
    </row>
    <row r="178" spans="1:9" x14ac:dyDescent="0.2">
      <c r="A178" s="434" t="s">
        <v>574</v>
      </c>
      <c r="B178" s="416"/>
      <c r="C178" s="416"/>
      <c r="D178" s="416"/>
      <c r="E178" s="416"/>
      <c r="F178" s="416"/>
      <c r="G178" s="416"/>
      <c r="H178" s="416"/>
      <c r="I178" s="416"/>
    </row>
    <row r="179" spans="1:9" x14ac:dyDescent="0.2">
      <c r="A179" s="434" t="s">
        <v>575</v>
      </c>
      <c r="B179" s="416"/>
      <c r="C179" s="416"/>
      <c r="D179" s="416"/>
      <c r="E179" s="416"/>
      <c r="F179" s="416"/>
      <c r="G179" s="416"/>
      <c r="H179" s="416"/>
      <c r="I179" s="416"/>
    </row>
    <row r="180" spans="1:9" x14ac:dyDescent="0.2">
      <c r="A180" s="434" t="s">
        <v>576</v>
      </c>
      <c r="B180" s="416"/>
      <c r="C180" s="416"/>
      <c r="D180" s="416"/>
      <c r="E180" s="416"/>
      <c r="F180" s="416"/>
      <c r="G180" s="416"/>
      <c r="H180" s="416"/>
      <c r="I180" s="416"/>
    </row>
    <row r="181" spans="1:9" x14ac:dyDescent="0.2">
      <c r="A181" s="434"/>
      <c r="B181" s="416"/>
      <c r="C181" s="416"/>
      <c r="D181" s="416"/>
      <c r="E181" s="416"/>
      <c r="F181" s="416"/>
      <c r="G181" s="416"/>
      <c r="H181" s="416"/>
      <c r="I181" s="416"/>
    </row>
    <row r="182" spans="1:9" x14ac:dyDescent="0.2">
      <c r="A182" s="434" t="s">
        <v>577</v>
      </c>
      <c r="B182" s="416"/>
      <c r="C182" s="416"/>
      <c r="D182" s="416"/>
      <c r="E182" s="416"/>
      <c r="F182" s="416"/>
      <c r="G182" s="416"/>
      <c r="H182" s="416"/>
      <c r="I182" s="416"/>
    </row>
    <row r="183" spans="1:9" x14ac:dyDescent="0.2">
      <c r="A183" s="434" t="s">
        <v>578</v>
      </c>
      <c r="B183" s="416"/>
      <c r="C183" s="416"/>
      <c r="D183" s="416"/>
      <c r="E183" s="416"/>
      <c r="F183" s="416"/>
      <c r="G183" s="416"/>
      <c r="H183" s="416"/>
      <c r="I183" s="416"/>
    </row>
    <row r="184" spans="1:9" x14ac:dyDescent="0.2">
      <c r="A184" s="434" t="s">
        <v>579</v>
      </c>
      <c r="B184" s="416"/>
      <c r="C184" s="416"/>
      <c r="D184" s="416"/>
      <c r="E184" s="416"/>
      <c r="F184" s="416"/>
      <c r="G184" s="416"/>
      <c r="H184" s="416"/>
      <c r="I184" s="416"/>
    </row>
    <row r="185" spans="1:9" x14ac:dyDescent="0.2">
      <c r="A185" s="434" t="s">
        <v>580</v>
      </c>
      <c r="B185" s="416"/>
      <c r="C185" s="416"/>
      <c r="D185" s="416"/>
      <c r="E185" s="416"/>
      <c r="F185" s="416"/>
      <c r="G185" s="416"/>
      <c r="H185" s="416"/>
      <c r="I185" s="416"/>
    </row>
    <row r="187" spans="1:9" x14ac:dyDescent="0.2">
      <c r="A187" s="436" t="s">
        <v>581</v>
      </c>
      <c r="B187" s="416"/>
      <c r="C187" s="416"/>
      <c r="D187" s="416"/>
      <c r="E187" s="416"/>
      <c r="F187" s="416"/>
      <c r="G187" s="416"/>
      <c r="H187" s="416"/>
      <c r="I187" s="416"/>
    </row>
    <row r="188" spans="1:9" x14ac:dyDescent="0.2">
      <c r="A188" s="434" t="s">
        <v>582</v>
      </c>
      <c r="B188" s="416"/>
      <c r="C188" s="416"/>
      <c r="D188" s="416"/>
      <c r="E188" s="416"/>
      <c r="F188" s="416"/>
      <c r="G188" s="416"/>
      <c r="H188" s="416"/>
      <c r="I188" s="416"/>
    </row>
    <row r="189" spans="1:9" x14ac:dyDescent="0.2">
      <c r="A189" s="434" t="s">
        <v>583</v>
      </c>
      <c r="B189" s="416"/>
      <c r="C189" s="416"/>
      <c r="D189" s="416"/>
      <c r="E189" s="416"/>
      <c r="F189" s="416"/>
      <c r="G189" s="416"/>
      <c r="H189" s="416"/>
      <c r="I189" s="416"/>
    </row>
    <row r="190" spans="1:9" x14ac:dyDescent="0.2">
      <c r="A190" s="434" t="s">
        <v>584</v>
      </c>
      <c r="B190" s="416"/>
      <c r="C190" s="416"/>
      <c r="D190" s="416"/>
      <c r="E190" s="416"/>
      <c r="F190" s="416"/>
      <c r="G190" s="416"/>
      <c r="H190" s="416"/>
      <c r="I190" s="416"/>
    </row>
    <row r="191" spans="1:9" x14ac:dyDescent="0.2">
      <c r="A191" s="434"/>
      <c r="B191" s="416"/>
      <c r="C191" s="416"/>
      <c r="D191" s="416"/>
      <c r="E191" s="416"/>
      <c r="F191" s="416"/>
      <c r="G191" s="416"/>
      <c r="H191" s="416"/>
      <c r="I191" s="416"/>
    </row>
    <row r="192" spans="1:9" x14ac:dyDescent="0.2">
      <c r="A192" s="434" t="s">
        <v>585</v>
      </c>
      <c r="B192" s="416"/>
      <c r="C192" s="416"/>
      <c r="D192" s="416"/>
      <c r="E192" s="416"/>
      <c r="F192" s="416"/>
      <c r="G192" s="416"/>
      <c r="H192" s="416"/>
      <c r="I192" s="416"/>
    </row>
    <row r="193" spans="1:9" x14ac:dyDescent="0.2">
      <c r="A193" s="434" t="s">
        <v>586</v>
      </c>
      <c r="B193" s="416"/>
      <c r="C193" s="416"/>
      <c r="D193" s="416"/>
      <c r="E193" s="416"/>
      <c r="F193" s="416"/>
      <c r="G193" s="416"/>
      <c r="H193" s="416"/>
      <c r="I193" s="416"/>
    </row>
    <row r="194" spans="1:9" x14ac:dyDescent="0.2">
      <c r="A194" s="434" t="s">
        <v>587</v>
      </c>
      <c r="B194" s="416"/>
      <c r="C194" s="416"/>
      <c r="D194" s="416"/>
      <c r="E194" s="416"/>
      <c r="F194" s="416"/>
      <c r="G194" s="416"/>
      <c r="H194" s="416"/>
      <c r="I194" s="416"/>
    </row>
    <row r="195" spans="1:9" x14ac:dyDescent="0.2">
      <c r="A195" s="434" t="s">
        <v>588</v>
      </c>
      <c r="B195" s="416"/>
      <c r="C195" s="416"/>
      <c r="D195" s="416"/>
      <c r="E195" s="416"/>
      <c r="F195" s="416"/>
      <c r="G195" s="416"/>
      <c r="H195" s="416"/>
      <c r="I195" s="416"/>
    </row>
    <row r="196" spans="1:9" x14ac:dyDescent="0.2">
      <c r="A196" s="434" t="s">
        <v>589</v>
      </c>
      <c r="B196" s="416"/>
      <c r="C196" s="416"/>
      <c r="D196" s="416"/>
      <c r="E196" s="416"/>
      <c r="F196" s="416"/>
      <c r="G196" s="416"/>
      <c r="H196" s="416"/>
      <c r="I196" s="416"/>
    </row>
    <row r="197" spans="1:9" x14ac:dyDescent="0.2">
      <c r="A197" s="434" t="s">
        <v>590</v>
      </c>
      <c r="B197" s="416"/>
      <c r="C197" s="416"/>
      <c r="D197" s="416"/>
      <c r="E197" s="416"/>
      <c r="F197" s="416"/>
      <c r="G197" s="416"/>
      <c r="H197" s="416"/>
      <c r="I197" s="416"/>
    </row>
    <row r="198" spans="1:9" x14ac:dyDescent="0.2">
      <c r="A198" s="434" t="s">
        <v>591</v>
      </c>
      <c r="B198" s="416"/>
      <c r="C198" s="416"/>
      <c r="D198" s="416"/>
      <c r="E198" s="416"/>
      <c r="F198" s="416"/>
      <c r="G198" s="416"/>
      <c r="H198" s="416"/>
      <c r="I198" s="416"/>
    </row>
    <row r="199" spans="1:9" x14ac:dyDescent="0.2">
      <c r="A199" s="434" t="s">
        <v>592</v>
      </c>
      <c r="B199" s="416"/>
      <c r="C199" s="416"/>
      <c r="D199" s="416"/>
      <c r="E199" s="416"/>
      <c r="F199" s="416"/>
      <c r="G199" s="416"/>
      <c r="H199" s="416"/>
      <c r="I199" s="416"/>
    </row>
    <row r="200" spans="1:9" x14ac:dyDescent="0.2">
      <c r="A200" s="434" t="s">
        <v>593</v>
      </c>
      <c r="B200" s="416"/>
      <c r="C200" s="416"/>
      <c r="D200" s="416"/>
      <c r="E200" s="416"/>
      <c r="F200" s="416"/>
      <c r="G200" s="416"/>
      <c r="H200" s="416"/>
      <c r="I200" s="416"/>
    </row>
    <row r="201" spans="1:9" x14ac:dyDescent="0.2">
      <c r="A201" s="434" t="s">
        <v>594</v>
      </c>
      <c r="B201" s="416"/>
      <c r="C201" s="416"/>
      <c r="D201" s="416"/>
      <c r="E201" s="416"/>
      <c r="F201" s="416"/>
      <c r="G201" s="416"/>
      <c r="H201" s="416"/>
      <c r="I201" s="416"/>
    </row>
    <row r="202" spans="1:9" x14ac:dyDescent="0.2">
      <c r="A202" s="434" t="s">
        <v>595</v>
      </c>
      <c r="B202" s="416"/>
      <c r="C202" s="416"/>
      <c r="D202" s="416"/>
      <c r="E202" s="416"/>
      <c r="F202" s="416"/>
      <c r="G202" s="416"/>
      <c r="H202" s="416"/>
      <c r="I202" s="416"/>
    </row>
    <row r="203" spans="1:9" x14ac:dyDescent="0.2">
      <c r="A203" s="434" t="s">
        <v>596</v>
      </c>
      <c r="B203" s="416"/>
      <c r="C203" s="416"/>
      <c r="D203" s="416"/>
      <c r="E203" s="416"/>
      <c r="F203" s="416"/>
      <c r="G203" s="416"/>
      <c r="H203" s="416"/>
      <c r="I203" s="416"/>
    </row>
    <row r="204" spans="1:9" x14ac:dyDescent="0.2">
      <c r="A204" s="434"/>
      <c r="B204" s="416"/>
      <c r="C204" s="416"/>
      <c r="D204" s="416"/>
      <c r="E204" s="416"/>
      <c r="F204" s="416"/>
      <c r="G204" s="416"/>
      <c r="H204" s="416"/>
      <c r="I204" s="416"/>
    </row>
    <row r="205" spans="1:9" x14ac:dyDescent="0.2">
      <c r="A205" s="434" t="s">
        <v>597</v>
      </c>
      <c r="B205" s="416"/>
      <c r="C205" s="416"/>
      <c r="D205" s="416"/>
      <c r="E205" s="416"/>
      <c r="F205" s="416"/>
      <c r="G205" s="416"/>
      <c r="H205" s="416"/>
      <c r="I205" s="416"/>
    </row>
    <row r="206" spans="1:9" x14ac:dyDescent="0.2">
      <c r="A206" s="434" t="s">
        <v>598</v>
      </c>
      <c r="B206" s="416"/>
      <c r="C206" s="416"/>
      <c r="D206" s="416"/>
      <c r="E206" s="416"/>
      <c r="F206" s="416"/>
      <c r="G206" s="416"/>
      <c r="H206" s="416"/>
      <c r="I206" s="416"/>
    </row>
    <row r="208" spans="1:9" x14ac:dyDescent="0.2">
      <c r="A208" s="436" t="s">
        <v>599</v>
      </c>
      <c r="B208" s="416"/>
      <c r="C208" s="416"/>
      <c r="D208" s="416"/>
      <c r="E208" s="416"/>
      <c r="F208" s="416"/>
      <c r="G208" s="416"/>
      <c r="H208" s="416"/>
      <c r="I208" s="416"/>
    </row>
    <row r="209" spans="1:9" x14ac:dyDescent="0.2">
      <c r="A209" s="434" t="s">
        <v>600</v>
      </c>
      <c r="B209" s="416"/>
      <c r="C209" s="416"/>
      <c r="D209" s="416"/>
      <c r="E209" s="416"/>
      <c r="F209" s="416"/>
      <c r="G209" s="416"/>
      <c r="H209" s="416"/>
      <c r="I209" s="416"/>
    </row>
    <row r="210" spans="1:9" x14ac:dyDescent="0.2">
      <c r="A210" s="434" t="s">
        <v>601</v>
      </c>
      <c r="B210" s="416"/>
      <c r="C210" s="416"/>
      <c r="D210" s="416"/>
      <c r="E210" s="416"/>
      <c r="F210" s="416"/>
      <c r="G210" s="416"/>
      <c r="H210" s="416"/>
      <c r="I210" s="416"/>
    </row>
    <row r="211" spans="1:9" x14ac:dyDescent="0.2">
      <c r="A211" s="434"/>
      <c r="B211" s="416"/>
      <c r="C211" s="416"/>
      <c r="D211" s="416"/>
      <c r="E211" s="416"/>
      <c r="F211" s="416"/>
      <c r="G211" s="416"/>
      <c r="H211" s="416"/>
      <c r="I211" s="416"/>
    </row>
    <row r="212" spans="1:9" x14ac:dyDescent="0.2">
      <c r="A212" s="434" t="s">
        <v>602</v>
      </c>
      <c r="B212" s="416"/>
      <c r="C212" s="416"/>
      <c r="D212" s="416"/>
      <c r="E212" s="416"/>
      <c r="F212" s="416"/>
      <c r="G212" s="416"/>
      <c r="H212" s="416"/>
      <c r="I212" s="416"/>
    </row>
    <row r="213" spans="1:9" x14ac:dyDescent="0.2">
      <c r="A213" s="434" t="s">
        <v>603</v>
      </c>
      <c r="B213" s="416"/>
      <c r="C213" s="416"/>
      <c r="D213" s="416"/>
      <c r="E213" s="416"/>
      <c r="F213" s="416"/>
      <c r="G213" s="416"/>
      <c r="H213" s="416"/>
      <c r="I213" s="416"/>
    </row>
    <row r="214" spans="1:9" x14ac:dyDescent="0.2">
      <c r="A214" s="434" t="s">
        <v>604</v>
      </c>
      <c r="B214" s="416"/>
      <c r="C214" s="416"/>
      <c r="D214" s="416"/>
      <c r="E214" s="416"/>
      <c r="F214" s="416"/>
      <c r="G214" s="416"/>
      <c r="H214" s="416"/>
      <c r="I214" s="416"/>
    </row>
    <row r="215" spans="1:9" x14ac:dyDescent="0.2">
      <c r="A215" s="434"/>
      <c r="B215" s="416"/>
      <c r="C215" s="416"/>
      <c r="D215" s="416"/>
      <c r="E215" s="416"/>
      <c r="F215" s="416"/>
      <c r="G215" s="416"/>
      <c r="H215" s="416"/>
      <c r="I215" s="416"/>
    </row>
    <row r="216" spans="1:9" x14ac:dyDescent="0.2">
      <c r="A216" s="434" t="s">
        <v>605</v>
      </c>
      <c r="B216" s="416"/>
      <c r="C216" s="416"/>
      <c r="D216" s="416"/>
      <c r="E216" s="416"/>
      <c r="F216" s="416"/>
      <c r="G216" s="416"/>
      <c r="H216" s="416"/>
      <c r="I216" s="416"/>
    </row>
    <row r="217" spans="1:9" x14ac:dyDescent="0.2">
      <c r="A217" s="434" t="s">
        <v>606</v>
      </c>
      <c r="B217" s="416"/>
      <c r="C217" s="416"/>
      <c r="D217" s="416"/>
      <c r="E217" s="416"/>
      <c r="F217" s="416"/>
      <c r="G217" s="416"/>
      <c r="H217" s="416"/>
      <c r="I217" s="416"/>
    </row>
    <row r="218" spans="1:9" x14ac:dyDescent="0.2">
      <c r="A218" s="434" t="s">
        <v>607</v>
      </c>
      <c r="B218" s="416"/>
      <c r="C218" s="416"/>
      <c r="D218" s="416"/>
      <c r="E218" s="416"/>
      <c r="F218" s="416"/>
      <c r="G218" s="416"/>
      <c r="H218" s="416"/>
      <c r="I218" s="416"/>
    </row>
    <row r="219" spans="1:9" x14ac:dyDescent="0.2">
      <c r="A219" s="434" t="s">
        <v>608</v>
      </c>
      <c r="B219" s="416"/>
      <c r="C219" s="416"/>
      <c r="D219" s="416"/>
      <c r="E219" s="416"/>
      <c r="F219" s="416"/>
      <c r="G219" s="416"/>
      <c r="H219" s="416"/>
      <c r="I219" s="416"/>
    </row>
    <row r="220" spans="1:9" x14ac:dyDescent="0.2">
      <c r="A220" s="434" t="s">
        <v>609</v>
      </c>
      <c r="B220" s="416"/>
      <c r="C220" s="416"/>
      <c r="D220" s="416"/>
      <c r="E220" s="416"/>
      <c r="F220" s="416"/>
      <c r="G220" s="416"/>
      <c r="H220" s="416"/>
      <c r="I220" s="416"/>
    </row>
    <row r="221" spans="1:9" x14ac:dyDescent="0.2">
      <c r="A221" s="434"/>
      <c r="B221" s="416"/>
      <c r="C221" s="416"/>
      <c r="D221" s="416"/>
      <c r="E221" s="416"/>
      <c r="F221" s="416"/>
      <c r="G221" s="416"/>
      <c r="H221" s="416"/>
      <c r="I221" s="416"/>
    </row>
    <row r="222" spans="1:9" x14ac:dyDescent="0.2">
      <c r="A222" s="434" t="s">
        <v>610</v>
      </c>
      <c r="B222" s="416"/>
      <c r="C222" s="416"/>
      <c r="D222" s="416"/>
      <c r="E222" s="416"/>
      <c r="F222" s="416"/>
      <c r="G222" s="416"/>
      <c r="H222" s="416"/>
      <c r="I222" s="416"/>
    </row>
    <row r="223" spans="1:9" x14ac:dyDescent="0.2">
      <c r="A223" s="434" t="s">
        <v>611</v>
      </c>
      <c r="B223" s="416"/>
      <c r="C223" s="416"/>
      <c r="D223" s="416"/>
      <c r="E223" s="416"/>
      <c r="F223" s="416"/>
      <c r="G223" s="416"/>
      <c r="H223" s="416"/>
      <c r="I223" s="416"/>
    </row>
    <row r="224" spans="1:9" x14ac:dyDescent="0.2">
      <c r="A224" s="434"/>
      <c r="B224" s="416"/>
      <c r="C224" s="416"/>
      <c r="D224" s="416"/>
      <c r="E224" s="416"/>
      <c r="F224" s="416"/>
      <c r="G224" s="416"/>
      <c r="H224" s="416"/>
      <c r="I224" s="416"/>
    </row>
    <row r="225" spans="1:9" x14ac:dyDescent="0.2">
      <c r="A225" s="434" t="s">
        <v>612</v>
      </c>
      <c r="B225" s="416"/>
      <c r="C225" s="416"/>
      <c r="D225" s="416"/>
      <c r="E225" s="416"/>
      <c r="F225" s="416"/>
      <c r="G225" s="416"/>
      <c r="H225" s="416"/>
      <c r="I225" s="416"/>
    </row>
    <row r="226" spans="1:9" x14ac:dyDescent="0.2">
      <c r="A226" s="434" t="s">
        <v>613</v>
      </c>
      <c r="B226" s="416"/>
      <c r="C226" s="416"/>
      <c r="D226" s="416"/>
      <c r="E226" s="416"/>
      <c r="F226" s="416"/>
      <c r="G226" s="416"/>
      <c r="H226" s="416"/>
      <c r="I226" s="416"/>
    </row>
    <row r="228" spans="1:9" x14ac:dyDescent="0.2">
      <c r="A228" s="436" t="s">
        <v>614</v>
      </c>
      <c r="B228" s="416"/>
      <c r="C228" s="416"/>
      <c r="D228" s="416"/>
      <c r="E228" s="416"/>
      <c r="F228" s="416"/>
      <c r="G228" s="416"/>
      <c r="H228" s="416"/>
      <c r="I228" s="416"/>
    </row>
    <row r="229" spans="1:9" x14ac:dyDescent="0.2">
      <c r="A229" s="434" t="s">
        <v>615</v>
      </c>
      <c r="B229" s="416"/>
      <c r="C229" s="416"/>
      <c r="D229" s="416"/>
      <c r="E229" s="416"/>
      <c r="F229" s="416"/>
      <c r="G229" s="416"/>
      <c r="H229" s="416"/>
      <c r="I229" s="416"/>
    </row>
    <row r="230" spans="1:9" x14ac:dyDescent="0.2">
      <c r="A230" s="434" t="s">
        <v>616</v>
      </c>
      <c r="B230" s="416"/>
      <c r="C230" s="416"/>
      <c r="D230" s="416"/>
      <c r="E230" s="416"/>
      <c r="F230" s="416"/>
      <c r="G230" s="416"/>
      <c r="H230" s="416"/>
      <c r="I230" s="416"/>
    </row>
    <row r="231" spans="1:9" x14ac:dyDescent="0.2">
      <c r="A231" s="434" t="s">
        <v>617</v>
      </c>
      <c r="B231" s="416"/>
      <c r="C231" s="416"/>
      <c r="D231" s="416"/>
      <c r="E231" s="416"/>
      <c r="F231" s="416"/>
      <c r="G231" s="416"/>
      <c r="H231" s="416"/>
      <c r="I231" s="416"/>
    </row>
    <row r="232" spans="1:9" x14ac:dyDescent="0.2">
      <c r="A232" s="434" t="s">
        <v>618</v>
      </c>
      <c r="B232" s="416"/>
      <c r="C232" s="416"/>
      <c r="D232" s="416"/>
      <c r="E232" s="416"/>
      <c r="F232" s="416"/>
      <c r="G232" s="416"/>
      <c r="H232" s="416"/>
      <c r="I232" s="416"/>
    </row>
    <row r="233" spans="1:9" x14ac:dyDescent="0.2">
      <c r="A233" s="434" t="s">
        <v>619</v>
      </c>
      <c r="B233" s="416"/>
      <c r="C233" s="416"/>
      <c r="D233" s="416"/>
      <c r="E233" s="416"/>
      <c r="F233" s="416"/>
      <c r="G233" s="416"/>
      <c r="H233" s="416"/>
      <c r="I233" s="416"/>
    </row>
    <row r="234" spans="1:9" x14ac:dyDescent="0.2">
      <c r="A234" s="434" t="s">
        <v>620</v>
      </c>
      <c r="B234" s="416"/>
      <c r="C234" s="416"/>
      <c r="D234" s="416"/>
      <c r="E234" s="416"/>
      <c r="F234" s="416"/>
      <c r="G234" s="416"/>
      <c r="H234" s="416"/>
      <c r="I234" s="416"/>
    </row>
    <row r="235" spans="1:9" x14ac:dyDescent="0.2">
      <c r="A235" s="434" t="s">
        <v>621</v>
      </c>
      <c r="B235" s="416"/>
      <c r="C235" s="416"/>
      <c r="D235" s="416"/>
      <c r="E235" s="416"/>
      <c r="F235" s="416"/>
      <c r="G235" s="416"/>
      <c r="H235" s="416"/>
      <c r="I235" s="416"/>
    </row>
    <row r="236" spans="1:9" x14ac:dyDescent="0.2">
      <c r="A236" s="434"/>
      <c r="B236" s="416"/>
      <c r="C236" s="416"/>
      <c r="D236" s="416"/>
      <c r="E236" s="416"/>
      <c r="F236" s="416"/>
      <c r="G236" s="416"/>
      <c r="H236" s="416"/>
      <c r="I236" s="416"/>
    </row>
    <row r="237" spans="1:9" x14ac:dyDescent="0.2">
      <c r="A237" s="434" t="s">
        <v>622</v>
      </c>
      <c r="B237" s="416"/>
      <c r="C237" s="416"/>
      <c r="D237" s="416"/>
      <c r="E237" s="416"/>
      <c r="F237" s="416"/>
      <c r="G237" s="416"/>
      <c r="H237" s="416"/>
      <c r="I237" s="416"/>
    </row>
    <row r="238" spans="1:9" x14ac:dyDescent="0.2">
      <c r="A238" s="434" t="s">
        <v>623</v>
      </c>
      <c r="B238" s="416"/>
      <c r="C238" s="416"/>
      <c r="D238" s="416"/>
      <c r="E238" s="416"/>
      <c r="F238" s="416"/>
      <c r="G238" s="416"/>
      <c r="H238" s="416"/>
      <c r="I238" s="416"/>
    </row>
    <row r="240" spans="1:9" x14ac:dyDescent="0.2">
      <c r="A240" s="436" t="s">
        <v>624</v>
      </c>
      <c r="B240" s="416"/>
      <c r="C240" s="416"/>
      <c r="D240" s="416"/>
      <c r="E240" s="416"/>
      <c r="F240" s="416"/>
      <c r="G240" s="416"/>
      <c r="H240" s="416"/>
      <c r="I240" s="416"/>
    </row>
    <row r="241" spans="1:9" x14ac:dyDescent="0.2">
      <c r="A241" s="434" t="s">
        <v>625</v>
      </c>
      <c r="B241" s="416"/>
      <c r="C241" s="416"/>
      <c r="D241" s="416"/>
      <c r="E241" s="416"/>
      <c r="F241" s="416"/>
      <c r="G241" s="416"/>
      <c r="H241" s="416"/>
      <c r="I241" s="416"/>
    </row>
    <row r="242" spans="1:9" x14ac:dyDescent="0.2">
      <c r="A242" s="434" t="s">
        <v>626</v>
      </c>
      <c r="B242" s="416"/>
      <c r="C242" s="416"/>
      <c r="D242" s="416"/>
      <c r="E242" s="416"/>
      <c r="F242" s="416"/>
      <c r="G242" s="416"/>
      <c r="H242" s="416"/>
      <c r="I242" s="416"/>
    </row>
    <row r="243" spans="1:9" x14ac:dyDescent="0.2">
      <c r="A243" s="434"/>
      <c r="B243" s="416"/>
      <c r="C243" s="416"/>
      <c r="D243" s="416"/>
      <c r="E243" s="416"/>
      <c r="F243" s="416"/>
      <c r="G243" s="416"/>
      <c r="H243" s="416"/>
      <c r="I243" s="416"/>
    </row>
    <row r="244" spans="1:9" x14ac:dyDescent="0.2">
      <c r="A244" s="434" t="s">
        <v>627</v>
      </c>
      <c r="B244" s="416"/>
      <c r="C244" s="416"/>
      <c r="D244" s="416"/>
      <c r="E244" s="416"/>
      <c r="F244" s="416"/>
      <c r="G244" s="416"/>
      <c r="H244" s="416"/>
      <c r="I244" s="416"/>
    </row>
    <row r="245" spans="1:9" x14ac:dyDescent="0.2">
      <c r="A245" s="434" t="s">
        <v>628</v>
      </c>
      <c r="B245" s="416"/>
      <c r="C245" s="416"/>
      <c r="D245" s="416"/>
      <c r="E245" s="416"/>
      <c r="F245" s="416"/>
      <c r="G245" s="416"/>
      <c r="H245" s="416"/>
      <c r="I245" s="416"/>
    </row>
    <row r="246" spans="1:9" x14ac:dyDescent="0.2">
      <c r="A246" s="434" t="s">
        <v>629</v>
      </c>
      <c r="B246" s="416"/>
      <c r="C246" s="416"/>
      <c r="D246" s="416"/>
      <c r="E246" s="416"/>
      <c r="F246" s="416"/>
      <c r="G246" s="416"/>
      <c r="H246" s="416"/>
      <c r="I246" s="416"/>
    </row>
    <row r="247" spans="1:9" x14ac:dyDescent="0.2">
      <c r="A247" s="434" t="s">
        <v>630</v>
      </c>
      <c r="B247" s="416"/>
      <c r="C247" s="416"/>
      <c r="D247" s="416"/>
      <c r="E247" s="416"/>
      <c r="F247" s="416"/>
      <c r="G247" s="416"/>
      <c r="H247" s="416"/>
      <c r="I247" s="416"/>
    </row>
    <row r="248" spans="1:9" x14ac:dyDescent="0.2">
      <c r="A248" s="434" t="s">
        <v>631</v>
      </c>
      <c r="B248" s="416"/>
      <c r="C248" s="416"/>
      <c r="D248" s="416"/>
      <c r="E248" s="416"/>
      <c r="F248" s="416"/>
      <c r="G248" s="416"/>
      <c r="H248" s="416"/>
      <c r="I248" s="416"/>
    </row>
    <row r="249" spans="1:9" x14ac:dyDescent="0.2">
      <c r="A249" s="434" t="s">
        <v>632</v>
      </c>
      <c r="B249" s="416"/>
      <c r="C249" s="416"/>
      <c r="D249" s="416"/>
      <c r="E249" s="416"/>
      <c r="F249" s="416"/>
      <c r="G249" s="416"/>
      <c r="H249" s="416"/>
      <c r="I249" s="416"/>
    </row>
    <row r="250" spans="1:9" x14ac:dyDescent="0.2">
      <c r="A250" s="434" t="s">
        <v>633</v>
      </c>
      <c r="B250" s="416"/>
      <c r="C250" s="416"/>
      <c r="D250" s="416"/>
      <c r="E250" s="416"/>
      <c r="F250" s="416"/>
      <c r="G250" s="416"/>
      <c r="H250" s="416"/>
      <c r="I250" s="416"/>
    </row>
    <row r="251" spans="1:9" x14ac:dyDescent="0.2">
      <c r="A251" s="434"/>
      <c r="B251" s="416"/>
      <c r="C251" s="416"/>
      <c r="D251" s="416"/>
      <c r="E251" s="416"/>
      <c r="F251" s="416"/>
      <c r="G251" s="416"/>
      <c r="H251" s="416"/>
      <c r="I251" s="416"/>
    </row>
    <row r="252" spans="1:9" x14ac:dyDescent="0.2">
      <c r="A252" s="434" t="s">
        <v>634</v>
      </c>
      <c r="B252" s="416"/>
      <c r="C252" s="416"/>
      <c r="D252" s="416"/>
      <c r="E252" s="416"/>
      <c r="F252" s="416"/>
      <c r="G252" s="416"/>
      <c r="H252" s="416"/>
      <c r="I252" s="416"/>
    </row>
    <row r="253" spans="1:9" x14ac:dyDescent="0.2">
      <c r="A253" s="434" t="s">
        <v>635</v>
      </c>
      <c r="B253" s="416"/>
      <c r="C253" s="416"/>
      <c r="D253" s="416"/>
      <c r="E253" s="416"/>
      <c r="F253" s="416"/>
      <c r="G253" s="416"/>
      <c r="H253" s="416"/>
      <c r="I253" s="416"/>
    </row>
    <row r="254" spans="1:9" x14ac:dyDescent="0.2">
      <c r="A254" s="338"/>
      <c r="B254" s="338"/>
      <c r="C254" s="338"/>
      <c r="D254" s="338"/>
      <c r="E254" s="338"/>
      <c r="F254" s="338"/>
      <c r="G254" s="338"/>
      <c r="H254" s="338"/>
      <c r="I254" s="338"/>
    </row>
    <row r="257" spans="1:9" x14ac:dyDescent="0.2">
      <c r="A257" s="439" t="s">
        <v>636</v>
      </c>
      <c r="B257" s="416"/>
      <c r="C257" s="416"/>
      <c r="D257" s="416"/>
      <c r="E257" s="416"/>
      <c r="F257" s="416"/>
      <c r="G257" s="416"/>
      <c r="H257" s="416"/>
      <c r="I257" s="416"/>
    </row>
    <row r="258" spans="1:9" x14ac:dyDescent="0.2">
      <c r="A258" s="338"/>
      <c r="B258" s="338"/>
      <c r="C258" s="338"/>
      <c r="D258" s="338"/>
      <c r="E258" s="338"/>
      <c r="F258" s="338"/>
      <c r="G258" s="338"/>
      <c r="H258" s="338"/>
      <c r="I258" s="338"/>
    </row>
    <row r="259" spans="1:9" x14ac:dyDescent="0.2">
      <c r="A259" s="436" t="s">
        <v>637</v>
      </c>
      <c r="B259" s="416"/>
      <c r="C259" s="416"/>
      <c r="D259" s="416"/>
      <c r="E259" s="416"/>
      <c r="F259" s="416"/>
      <c r="G259" s="416"/>
      <c r="H259" s="416"/>
      <c r="I259" s="416"/>
    </row>
    <row r="260" spans="1:9" x14ac:dyDescent="0.2">
      <c r="A260" s="434" t="s">
        <v>638</v>
      </c>
      <c r="B260" s="416"/>
      <c r="C260" s="416"/>
      <c r="D260" s="416"/>
      <c r="E260" s="416"/>
      <c r="F260" s="416"/>
      <c r="G260" s="416"/>
      <c r="H260" s="416"/>
      <c r="I260" s="416"/>
    </row>
    <row r="261" spans="1:9" x14ac:dyDescent="0.2">
      <c r="A261" s="434" t="s">
        <v>639</v>
      </c>
      <c r="B261" s="416"/>
      <c r="C261" s="416"/>
      <c r="D261" s="416"/>
      <c r="E261" s="416"/>
      <c r="F261" s="416"/>
      <c r="G261" s="416"/>
      <c r="H261" s="416"/>
      <c r="I261" s="416"/>
    </row>
    <row r="262" spans="1:9" x14ac:dyDescent="0.2">
      <c r="A262" s="434" t="s">
        <v>640</v>
      </c>
      <c r="B262" s="416"/>
      <c r="C262" s="416"/>
      <c r="D262" s="416"/>
      <c r="E262" s="416"/>
      <c r="F262" s="416"/>
      <c r="G262" s="416"/>
      <c r="H262" s="416"/>
      <c r="I262" s="416"/>
    </row>
    <row r="263" spans="1:9" x14ac:dyDescent="0.2">
      <c r="A263" s="434" t="s">
        <v>641</v>
      </c>
      <c r="B263" s="416"/>
      <c r="C263" s="416"/>
      <c r="D263" s="416"/>
      <c r="E263" s="416"/>
      <c r="F263" s="416"/>
      <c r="G263" s="416"/>
      <c r="H263" s="416"/>
      <c r="I263" s="416"/>
    </row>
    <row r="264" spans="1:9" x14ac:dyDescent="0.2">
      <c r="A264" s="434"/>
      <c r="B264" s="416"/>
      <c r="C264" s="416"/>
      <c r="D264" s="416"/>
      <c r="E264" s="416"/>
      <c r="F264" s="416"/>
      <c r="G264" s="416"/>
      <c r="H264" s="416"/>
      <c r="I264" s="416"/>
    </row>
    <row r="265" spans="1:9" x14ac:dyDescent="0.2">
      <c r="A265" s="436" t="s">
        <v>642</v>
      </c>
      <c r="B265" s="416"/>
      <c r="C265" s="416"/>
      <c r="D265" s="416"/>
      <c r="E265" s="416"/>
      <c r="F265" s="416"/>
      <c r="G265" s="416"/>
      <c r="H265" s="416"/>
      <c r="I265" s="416"/>
    </row>
    <row r="266" spans="1:9" x14ac:dyDescent="0.2">
      <c r="A266" s="434" t="s">
        <v>643</v>
      </c>
      <c r="B266" s="416"/>
      <c r="C266" s="416"/>
      <c r="D266" s="416"/>
      <c r="E266" s="416"/>
      <c r="F266" s="416"/>
      <c r="G266" s="416"/>
      <c r="H266" s="416"/>
      <c r="I266" s="416"/>
    </row>
    <row r="267" spans="1:9" x14ac:dyDescent="0.2">
      <c r="A267" s="434" t="s">
        <v>644</v>
      </c>
      <c r="B267" s="416"/>
      <c r="C267" s="416"/>
      <c r="D267" s="416"/>
      <c r="E267" s="416"/>
      <c r="F267" s="416"/>
      <c r="G267" s="416"/>
      <c r="H267" s="416"/>
      <c r="I267" s="416"/>
    </row>
    <row r="268" spans="1:9" x14ac:dyDescent="0.2">
      <c r="A268" s="438" t="s">
        <v>645</v>
      </c>
      <c r="B268" s="416"/>
      <c r="C268" s="416"/>
      <c r="D268" s="416"/>
      <c r="E268" s="416"/>
      <c r="F268" s="416"/>
      <c r="G268" s="416"/>
      <c r="H268" s="416"/>
      <c r="I268" s="416"/>
    </row>
    <row r="269" spans="1:9" x14ac:dyDescent="0.2">
      <c r="A269" s="438" t="s">
        <v>646</v>
      </c>
      <c r="B269" s="416"/>
      <c r="C269" s="416"/>
      <c r="D269" s="416"/>
      <c r="E269" s="416"/>
      <c r="F269" s="416"/>
      <c r="G269" s="416"/>
      <c r="H269" s="416"/>
      <c r="I269" s="416"/>
    </row>
    <row r="270" spans="1:9" x14ac:dyDescent="0.2">
      <c r="A270" s="434"/>
      <c r="B270" s="416"/>
      <c r="C270" s="416"/>
      <c r="D270" s="416"/>
      <c r="E270" s="416"/>
      <c r="F270" s="416"/>
      <c r="G270" s="416"/>
      <c r="H270" s="416"/>
      <c r="I270" s="416"/>
    </row>
    <row r="271" spans="1:9" x14ac:dyDescent="0.2">
      <c r="A271" s="436" t="s">
        <v>647</v>
      </c>
      <c r="B271" s="416"/>
      <c r="C271" s="416"/>
      <c r="D271" s="416"/>
      <c r="E271" s="416"/>
      <c r="F271" s="416"/>
      <c r="G271" s="416"/>
      <c r="H271" s="416"/>
      <c r="I271" s="416"/>
    </row>
    <row r="272" spans="1:9" x14ac:dyDescent="0.2">
      <c r="A272" s="434" t="s">
        <v>648</v>
      </c>
      <c r="B272" s="416"/>
      <c r="C272" s="416"/>
      <c r="D272" s="416"/>
      <c r="E272" s="416"/>
      <c r="F272" s="416"/>
      <c r="G272" s="416"/>
      <c r="H272" s="416"/>
      <c r="I272" s="416"/>
    </row>
    <row r="273" spans="1:9" x14ac:dyDescent="0.2">
      <c r="A273" s="434"/>
      <c r="B273" s="416"/>
      <c r="C273" s="416"/>
      <c r="D273" s="416"/>
      <c r="E273" s="416"/>
      <c r="F273" s="416"/>
      <c r="G273" s="416"/>
      <c r="H273" s="416"/>
      <c r="I273" s="416"/>
    </row>
    <row r="274" spans="1:9" x14ac:dyDescent="0.2">
      <c r="A274" s="434" t="s">
        <v>649</v>
      </c>
      <c r="B274" s="416"/>
      <c r="C274" s="416"/>
      <c r="D274" s="416"/>
      <c r="E274" s="416"/>
      <c r="F274" s="416"/>
      <c r="G274" s="416"/>
      <c r="H274" s="416"/>
      <c r="I274" s="416"/>
    </row>
    <row r="275" spans="1:9" x14ac:dyDescent="0.2">
      <c r="A275" s="434" t="s">
        <v>650</v>
      </c>
      <c r="B275" s="416"/>
      <c r="C275" s="416"/>
      <c r="D275" s="416"/>
      <c r="E275" s="416"/>
      <c r="F275" s="416"/>
      <c r="G275" s="416"/>
      <c r="H275" s="416"/>
      <c r="I275" s="416"/>
    </row>
    <row r="276" spans="1:9" x14ac:dyDescent="0.2">
      <c r="A276" s="434" t="s">
        <v>651</v>
      </c>
      <c r="B276" s="416"/>
      <c r="C276" s="416"/>
      <c r="D276" s="416"/>
      <c r="E276" s="416"/>
      <c r="F276" s="416"/>
      <c r="G276" s="416"/>
      <c r="H276" s="416"/>
      <c r="I276" s="416"/>
    </row>
    <row r="277" spans="1:9" x14ac:dyDescent="0.2">
      <c r="A277" s="434" t="s">
        <v>652</v>
      </c>
      <c r="B277" s="416"/>
      <c r="C277" s="416"/>
      <c r="D277" s="416"/>
      <c r="E277" s="416"/>
      <c r="F277" s="416"/>
      <c r="G277" s="416"/>
      <c r="H277" s="416"/>
      <c r="I277" s="416"/>
    </row>
    <row r="278" spans="1:9" x14ac:dyDescent="0.2">
      <c r="A278" s="434" t="s">
        <v>653</v>
      </c>
      <c r="B278" s="416"/>
      <c r="C278" s="416"/>
      <c r="D278" s="416"/>
      <c r="E278" s="416"/>
      <c r="F278" s="416"/>
      <c r="G278" s="416"/>
      <c r="H278" s="416"/>
      <c r="I278" s="416"/>
    </row>
    <row r="279" spans="1:9" x14ac:dyDescent="0.2">
      <c r="A279" s="434" t="s">
        <v>654</v>
      </c>
      <c r="B279" s="416"/>
      <c r="C279" s="416"/>
      <c r="D279" s="416"/>
      <c r="E279" s="416"/>
      <c r="F279" s="416"/>
      <c r="G279" s="416"/>
      <c r="H279" s="416"/>
      <c r="I279" s="416"/>
    </row>
    <row r="280" spans="1:9" x14ac:dyDescent="0.2">
      <c r="A280" s="434"/>
      <c r="B280" s="416"/>
      <c r="C280" s="416"/>
      <c r="D280" s="416"/>
      <c r="E280" s="416"/>
      <c r="F280" s="416"/>
      <c r="G280" s="416"/>
      <c r="H280" s="416"/>
      <c r="I280" s="416"/>
    </row>
    <row r="281" spans="1:9" x14ac:dyDescent="0.2">
      <c r="A281" s="436" t="s">
        <v>655</v>
      </c>
      <c r="B281" s="416"/>
      <c r="C281" s="416"/>
      <c r="D281" s="416"/>
      <c r="E281" s="416"/>
      <c r="F281" s="416"/>
      <c r="G281" s="416"/>
      <c r="H281" s="416"/>
      <c r="I281" s="416"/>
    </row>
    <row r="282" spans="1:9" x14ac:dyDescent="0.2">
      <c r="A282" s="434" t="s">
        <v>656</v>
      </c>
      <c r="B282" s="416"/>
      <c r="C282" s="416"/>
      <c r="D282" s="416"/>
      <c r="E282" s="416"/>
      <c r="F282" s="416"/>
      <c r="G282" s="416"/>
      <c r="H282" s="416"/>
      <c r="I282" s="416"/>
    </row>
    <row r="283" spans="1:9" x14ac:dyDescent="0.2">
      <c r="A283" s="434" t="s">
        <v>657</v>
      </c>
      <c r="B283" s="416"/>
      <c r="C283" s="416"/>
      <c r="D283" s="416"/>
      <c r="E283" s="416"/>
      <c r="F283" s="416"/>
      <c r="G283" s="416"/>
      <c r="H283" s="416"/>
      <c r="I283" s="416"/>
    </row>
    <row r="284" spans="1:9" x14ac:dyDescent="0.2">
      <c r="A284" s="434" t="s">
        <v>658</v>
      </c>
      <c r="B284" s="416"/>
      <c r="C284" s="416"/>
      <c r="D284" s="416"/>
      <c r="E284" s="416"/>
      <c r="F284" s="416"/>
      <c r="G284" s="416"/>
      <c r="H284" s="416"/>
      <c r="I284" s="416"/>
    </row>
    <row r="285" spans="1:9" x14ac:dyDescent="0.2">
      <c r="A285" s="338"/>
      <c r="B285" s="338"/>
      <c r="C285" s="338"/>
      <c r="D285" s="338"/>
      <c r="E285" s="338"/>
      <c r="F285" s="338"/>
      <c r="G285" s="338"/>
      <c r="H285" s="338"/>
      <c r="I285" s="338"/>
    </row>
    <row r="286" spans="1:9" x14ac:dyDescent="0.2">
      <c r="A286" s="338"/>
      <c r="B286" s="338"/>
      <c r="C286" s="338"/>
      <c r="D286" s="338"/>
      <c r="E286" s="338"/>
      <c r="F286" s="338"/>
      <c r="G286" s="338"/>
      <c r="H286" s="338"/>
      <c r="I286" s="338"/>
    </row>
    <row r="289" spans="1:9" x14ac:dyDescent="0.2">
      <c r="A289" s="439" t="s">
        <v>659</v>
      </c>
      <c r="B289" s="416"/>
      <c r="C289" s="416"/>
      <c r="D289" s="416"/>
      <c r="E289" s="416"/>
      <c r="F289" s="416"/>
      <c r="G289" s="416"/>
      <c r="H289" s="416"/>
      <c r="I289" s="416"/>
    </row>
    <row r="290" spans="1:9" x14ac:dyDescent="0.2">
      <c r="A290" s="338"/>
      <c r="B290" s="338"/>
      <c r="C290" s="338"/>
      <c r="D290" s="338"/>
      <c r="E290" s="338"/>
      <c r="F290" s="338"/>
      <c r="G290" s="338"/>
      <c r="H290" s="338"/>
      <c r="I290" s="338"/>
    </row>
    <row r="291" spans="1:9" x14ac:dyDescent="0.2">
      <c r="A291" s="436" t="s">
        <v>660</v>
      </c>
      <c r="B291" s="416"/>
      <c r="C291" s="416"/>
      <c r="D291" s="416"/>
      <c r="E291" s="416"/>
      <c r="F291" s="416"/>
      <c r="G291" s="416"/>
      <c r="H291" s="416"/>
      <c r="I291" s="416"/>
    </row>
    <row r="292" spans="1:9" x14ac:dyDescent="0.2">
      <c r="A292" s="438" t="s">
        <v>661</v>
      </c>
      <c r="B292" s="416"/>
      <c r="C292" s="416"/>
      <c r="D292" s="416"/>
      <c r="E292" s="416"/>
      <c r="F292" s="416"/>
      <c r="G292" s="416"/>
      <c r="H292" s="416"/>
      <c r="I292" s="416"/>
    </row>
    <row r="293" spans="1:9" x14ac:dyDescent="0.2">
      <c r="A293" s="435" t="s">
        <v>662</v>
      </c>
      <c r="B293" s="416"/>
      <c r="C293" s="416"/>
      <c r="D293" s="416"/>
      <c r="E293" s="416"/>
      <c r="F293" s="416"/>
      <c r="G293" s="416"/>
      <c r="H293" s="416"/>
      <c r="I293" s="416"/>
    </row>
    <row r="294" spans="1:9" x14ac:dyDescent="0.2">
      <c r="A294" s="434" t="s">
        <v>663</v>
      </c>
      <c r="B294" s="416"/>
      <c r="C294" s="416"/>
      <c r="D294" s="416"/>
      <c r="E294" s="416"/>
      <c r="F294" s="416"/>
      <c r="G294" s="416"/>
      <c r="H294" s="416"/>
      <c r="I294" s="416"/>
    </row>
    <row r="295" spans="1:9" x14ac:dyDescent="0.2">
      <c r="A295" s="434"/>
      <c r="B295" s="416"/>
      <c r="C295" s="416"/>
      <c r="D295" s="416"/>
      <c r="E295" s="416"/>
      <c r="F295" s="416"/>
      <c r="G295" s="416"/>
      <c r="H295" s="416"/>
      <c r="I295" s="416"/>
    </row>
    <row r="296" spans="1:9" x14ac:dyDescent="0.2">
      <c r="A296" s="436" t="s">
        <v>664</v>
      </c>
      <c r="B296" s="416"/>
      <c r="C296" s="416"/>
      <c r="D296" s="416"/>
      <c r="E296" s="416"/>
      <c r="F296" s="416"/>
      <c r="G296" s="416"/>
      <c r="H296" s="416"/>
      <c r="I296" s="416"/>
    </row>
    <row r="297" spans="1:9" x14ac:dyDescent="0.2">
      <c r="A297" s="435" t="s">
        <v>665</v>
      </c>
      <c r="B297" s="416"/>
      <c r="C297" s="416"/>
      <c r="D297" s="416"/>
      <c r="E297" s="416"/>
      <c r="F297" s="416"/>
      <c r="G297" s="416"/>
      <c r="H297" s="416"/>
      <c r="I297" s="416"/>
    </row>
    <row r="298" spans="1:9" x14ac:dyDescent="0.2">
      <c r="A298" s="435" t="s">
        <v>666</v>
      </c>
      <c r="B298" s="416"/>
      <c r="C298" s="416"/>
      <c r="D298" s="416"/>
      <c r="E298" s="416"/>
      <c r="F298" s="416"/>
      <c r="G298" s="416"/>
      <c r="H298" s="416"/>
      <c r="I298" s="416"/>
    </row>
    <row r="299" spans="1:9" x14ac:dyDescent="0.2">
      <c r="A299" s="435" t="s">
        <v>667</v>
      </c>
      <c r="B299" s="416"/>
      <c r="C299" s="416"/>
      <c r="D299" s="416"/>
      <c r="E299" s="416"/>
      <c r="F299" s="416"/>
      <c r="G299" s="416"/>
      <c r="H299" s="416"/>
      <c r="I299" s="416"/>
    </row>
    <row r="300" spans="1:9" x14ac:dyDescent="0.2">
      <c r="A300" s="435" t="s">
        <v>668</v>
      </c>
      <c r="B300" s="416"/>
      <c r="C300" s="416"/>
      <c r="D300" s="416"/>
      <c r="E300" s="416"/>
      <c r="F300" s="416"/>
      <c r="G300" s="416"/>
      <c r="H300" s="416"/>
      <c r="I300" s="416"/>
    </row>
    <row r="301" spans="1:9" x14ac:dyDescent="0.2">
      <c r="A301" s="434"/>
      <c r="B301" s="416"/>
      <c r="C301" s="416"/>
      <c r="D301" s="416"/>
      <c r="E301" s="416"/>
      <c r="F301" s="416"/>
      <c r="G301" s="416"/>
      <c r="H301" s="416"/>
      <c r="I301" s="416"/>
    </row>
    <row r="302" spans="1:9" x14ac:dyDescent="0.2">
      <c r="A302" s="436" t="s">
        <v>669</v>
      </c>
      <c r="B302" s="416"/>
      <c r="C302" s="416"/>
      <c r="D302" s="416"/>
      <c r="E302" s="416"/>
      <c r="F302" s="416"/>
      <c r="G302" s="416"/>
      <c r="H302" s="416"/>
      <c r="I302" s="416"/>
    </row>
    <row r="303" spans="1:9" x14ac:dyDescent="0.2">
      <c r="A303" s="438" t="s">
        <v>670</v>
      </c>
      <c r="B303" s="416"/>
      <c r="C303" s="416"/>
      <c r="D303" s="416"/>
      <c r="E303" s="416"/>
      <c r="F303" s="416"/>
      <c r="G303" s="416"/>
      <c r="H303" s="416"/>
      <c r="I303" s="416"/>
    </row>
    <row r="304" spans="1:9" x14ac:dyDescent="0.2">
      <c r="A304" s="434" t="s">
        <v>671</v>
      </c>
      <c r="B304" s="416"/>
      <c r="C304" s="416"/>
      <c r="D304" s="416"/>
      <c r="E304" s="416"/>
      <c r="F304" s="416"/>
      <c r="G304" s="416"/>
      <c r="H304" s="416"/>
      <c r="I304" s="416"/>
    </row>
    <row r="305" spans="1:9" x14ac:dyDescent="0.2">
      <c r="A305" s="434" t="s">
        <v>672</v>
      </c>
      <c r="B305" s="416"/>
      <c r="C305" s="416"/>
      <c r="D305" s="416"/>
      <c r="E305" s="416"/>
      <c r="F305" s="416"/>
      <c r="G305" s="416"/>
      <c r="H305" s="416"/>
      <c r="I305" s="416"/>
    </row>
    <row r="306" spans="1:9" x14ac:dyDescent="0.2">
      <c r="A306" s="434"/>
      <c r="B306" s="416"/>
      <c r="C306" s="416"/>
      <c r="D306" s="416"/>
      <c r="E306" s="416"/>
      <c r="F306" s="416"/>
      <c r="G306" s="416"/>
      <c r="H306" s="416"/>
      <c r="I306" s="416"/>
    </row>
    <row r="307" spans="1:9" x14ac:dyDescent="0.2">
      <c r="A307" s="436" t="s">
        <v>673</v>
      </c>
      <c r="B307" s="416"/>
      <c r="C307" s="416"/>
      <c r="D307" s="416"/>
      <c r="E307" s="416"/>
      <c r="F307" s="416"/>
      <c r="G307" s="416"/>
      <c r="H307" s="416"/>
      <c r="I307" s="416"/>
    </row>
    <row r="308" spans="1:9" x14ac:dyDescent="0.2">
      <c r="A308" s="434" t="s">
        <v>674</v>
      </c>
      <c r="B308" s="416"/>
      <c r="C308" s="416"/>
      <c r="D308" s="416"/>
      <c r="E308" s="416"/>
      <c r="F308" s="416"/>
      <c r="G308" s="416"/>
      <c r="H308" s="416"/>
      <c r="I308" s="416"/>
    </row>
    <row r="309" spans="1:9" x14ac:dyDescent="0.2">
      <c r="A309" s="434" t="s">
        <v>675</v>
      </c>
      <c r="B309" s="416"/>
      <c r="C309" s="416"/>
      <c r="D309" s="416"/>
      <c r="E309" s="416"/>
      <c r="F309" s="416"/>
      <c r="G309" s="416"/>
      <c r="H309" s="416"/>
      <c r="I309" s="416"/>
    </row>
    <row r="310" spans="1:9" x14ac:dyDescent="0.2">
      <c r="A310" s="434" t="s">
        <v>676</v>
      </c>
      <c r="B310" s="416"/>
      <c r="C310" s="416"/>
      <c r="D310" s="416"/>
      <c r="E310" s="416"/>
      <c r="F310" s="416"/>
      <c r="G310" s="416"/>
      <c r="H310" s="416"/>
      <c r="I310" s="416"/>
    </row>
    <row r="311" spans="1:9" x14ac:dyDescent="0.2">
      <c r="A311" s="434" t="s">
        <v>677</v>
      </c>
      <c r="B311" s="416"/>
      <c r="C311" s="416"/>
      <c r="D311" s="416"/>
      <c r="E311" s="416"/>
      <c r="F311" s="416"/>
      <c r="G311" s="416"/>
      <c r="H311" s="416"/>
      <c r="I311" s="416"/>
    </row>
    <row r="312" spans="1:9" x14ac:dyDescent="0.2">
      <c r="A312" s="434" t="s">
        <v>678</v>
      </c>
      <c r="B312" s="416"/>
      <c r="C312" s="416"/>
      <c r="D312" s="416"/>
      <c r="E312" s="416"/>
      <c r="F312" s="416"/>
      <c r="G312" s="416"/>
      <c r="H312" s="416"/>
      <c r="I312" s="416"/>
    </row>
    <row r="313" spans="1:9" x14ac:dyDescent="0.2">
      <c r="A313" s="338"/>
      <c r="B313" s="338"/>
      <c r="C313" s="338"/>
      <c r="D313" s="338"/>
      <c r="E313" s="338"/>
      <c r="F313" s="338"/>
      <c r="G313" s="338"/>
      <c r="H313" s="338"/>
      <c r="I313" s="338"/>
    </row>
    <row r="316" spans="1:9" x14ac:dyDescent="0.2">
      <c r="A316" s="439" t="s">
        <v>679</v>
      </c>
      <c r="B316" s="416"/>
      <c r="C316" s="416"/>
      <c r="D316" s="416"/>
      <c r="E316" s="416"/>
      <c r="F316" s="416"/>
      <c r="G316" s="416"/>
      <c r="H316" s="416"/>
      <c r="I316" s="416"/>
    </row>
    <row r="317" spans="1:9" x14ac:dyDescent="0.2">
      <c r="A317" s="338"/>
      <c r="B317" s="338"/>
      <c r="C317" s="338"/>
      <c r="D317" s="338"/>
      <c r="E317" s="338"/>
      <c r="F317" s="338"/>
      <c r="G317" s="338"/>
      <c r="H317" s="338"/>
      <c r="I317" s="338"/>
    </row>
    <row r="318" spans="1:9" x14ac:dyDescent="0.2">
      <c r="A318" s="436" t="s">
        <v>680</v>
      </c>
      <c r="B318" s="416"/>
      <c r="C318" s="416"/>
      <c r="D318" s="416"/>
      <c r="E318" s="416"/>
      <c r="F318" s="416"/>
      <c r="G318" s="416"/>
      <c r="H318" s="416"/>
      <c r="I318" s="416"/>
    </row>
    <row r="319" spans="1:9" x14ac:dyDescent="0.2">
      <c r="A319" s="434" t="s">
        <v>681</v>
      </c>
      <c r="B319" s="416"/>
      <c r="C319" s="416"/>
      <c r="D319" s="416"/>
      <c r="E319" s="416"/>
      <c r="F319" s="416"/>
      <c r="G319" s="416"/>
      <c r="H319" s="416"/>
      <c r="I319" s="416"/>
    </row>
    <row r="320" spans="1:9" x14ac:dyDescent="0.2">
      <c r="A320" s="434" t="s">
        <v>682</v>
      </c>
      <c r="B320" s="416"/>
      <c r="C320" s="416"/>
      <c r="D320" s="416"/>
      <c r="E320" s="416"/>
      <c r="F320" s="416"/>
      <c r="G320" s="416"/>
      <c r="H320" s="416"/>
      <c r="I320" s="416"/>
    </row>
    <row r="321" spans="1:9" x14ac:dyDescent="0.2">
      <c r="A321" s="434"/>
      <c r="B321" s="416"/>
      <c r="C321" s="416"/>
      <c r="D321" s="416"/>
      <c r="E321" s="416"/>
      <c r="F321" s="416"/>
      <c r="G321" s="416"/>
      <c r="H321" s="416"/>
      <c r="I321" s="416"/>
    </row>
    <row r="322" spans="1:9" x14ac:dyDescent="0.2">
      <c r="A322" s="435" t="s">
        <v>683</v>
      </c>
      <c r="B322" s="416"/>
      <c r="C322" s="416"/>
      <c r="D322" s="416"/>
      <c r="E322" s="416"/>
      <c r="F322" s="416"/>
      <c r="G322" s="416"/>
      <c r="H322" s="416"/>
      <c r="I322" s="416"/>
    </row>
    <row r="323" spans="1:9" x14ac:dyDescent="0.2">
      <c r="A323" s="434"/>
      <c r="B323" s="416"/>
      <c r="C323" s="416"/>
      <c r="D323" s="416"/>
      <c r="E323" s="416"/>
      <c r="F323" s="416"/>
      <c r="G323" s="416"/>
      <c r="H323" s="416"/>
      <c r="I323" s="416"/>
    </row>
    <row r="324" spans="1:9" x14ac:dyDescent="0.2">
      <c r="A324" s="436" t="s">
        <v>660</v>
      </c>
      <c r="B324" s="416"/>
      <c r="C324" s="416"/>
      <c r="D324" s="416"/>
      <c r="E324" s="416"/>
      <c r="F324" s="416"/>
      <c r="G324" s="416"/>
      <c r="H324" s="416"/>
      <c r="I324" s="416"/>
    </row>
    <row r="325" spans="1:9" x14ac:dyDescent="0.2">
      <c r="A325" s="434" t="s">
        <v>684</v>
      </c>
      <c r="B325" s="416"/>
      <c r="C325" s="416"/>
      <c r="D325" s="416"/>
      <c r="E325" s="416"/>
      <c r="F325" s="416"/>
      <c r="G325" s="416"/>
      <c r="H325" s="416"/>
      <c r="I325" s="416"/>
    </row>
    <row r="326" spans="1:9" x14ac:dyDescent="0.2">
      <c r="A326" s="434" t="s">
        <v>685</v>
      </c>
      <c r="B326" s="416"/>
      <c r="C326" s="416"/>
      <c r="D326" s="416"/>
      <c r="E326" s="416"/>
      <c r="F326" s="416"/>
      <c r="G326" s="416"/>
      <c r="H326" s="416"/>
      <c r="I326" s="416"/>
    </row>
    <row r="327" spans="1:9" x14ac:dyDescent="0.2">
      <c r="A327" s="435" t="s">
        <v>686</v>
      </c>
      <c r="B327" s="416"/>
      <c r="C327" s="416"/>
      <c r="D327" s="416"/>
      <c r="E327" s="416"/>
      <c r="F327" s="416"/>
      <c r="G327" s="416"/>
      <c r="H327" s="416"/>
      <c r="I327" s="416"/>
    </row>
    <row r="328" spans="1:9" x14ac:dyDescent="0.2">
      <c r="A328" s="434"/>
      <c r="B328" s="416"/>
      <c r="C328" s="416"/>
      <c r="D328" s="416"/>
      <c r="E328" s="416"/>
      <c r="F328" s="416"/>
      <c r="G328" s="416"/>
      <c r="H328" s="416"/>
      <c r="I328" s="416"/>
    </row>
    <row r="329" spans="1:9" x14ac:dyDescent="0.2">
      <c r="A329" s="436" t="s">
        <v>687</v>
      </c>
      <c r="B329" s="416"/>
      <c r="C329" s="416"/>
      <c r="D329" s="416"/>
      <c r="E329" s="416"/>
      <c r="F329" s="416"/>
      <c r="G329" s="416"/>
      <c r="H329" s="416"/>
      <c r="I329" s="416"/>
    </row>
    <row r="330" spans="1:9" x14ac:dyDescent="0.2">
      <c r="A330" s="434" t="s">
        <v>688</v>
      </c>
      <c r="B330" s="416"/>
      <c r="C330" s="416"/>
      <c r="D330" s="416"/>
      <c r="E330" s="416"/>
      <c r="F330" s="416"/>
      <c r="G330" s="416"/>
      <c r="H330" s="416"/>
      <c r="I330" s="416"/>
    </row>
    <row r="331" spans="1:9" x14ac:dyDescent="0.2">
      <c r="A331" s="434" t="s">
        <v>689</v>
      </c>
      <c r="B331" s="416"/>
      <c r="C331" s="416"/>
      <c r="D331" s="416"/>
      <c r="E331" s="416"/>
      <c r="F331" s="416"/>
      <c r="G331" s="416"/>
      <c r="H331" s="416"/>
      <c r="I331" s="416"/>
    </row>
    <row r="332" spans="1:9" x14ac:dyDescent="0.2">
      <c r="A332" s="434" t="s">
        <v>690</v>
      </c>
      <c r="B332" s="416"/>
      <c r="C332" s="416"/>
      <c r="D332" s="416"/>
      <c r="E332" s="416"/>
      <c r="F332" s="416"/>
      <c r="G332" s="416"/>
      <c r="H332" s="416"/>
      <c r="I332" s="416"/>
    </row>
    <row r="333" spans="1:9" x14ac:dyDescent="0.2">
      <c r="A333" s="434"/>
      <c r="B333" s="416"/>
      <c r="C333" s="416"/>
      <c r="D333" s="416"/>
      <c r="E333" s="416"/>
      <c r="F333" s="416"/>
      <c r="G333" s="416"/>
      <c r="H333" s="416"/>
      <c r="I333" s="416"/>
    </row>
    <row r="334" spans="1:9" x14ac:dyDescent="0.2">
      <c r="A334" s="435" t="s">
        <v>691</v>
      </c>
      <c r="B334" s="416"/>
      <c r="C334" s="416"/>
      <c r="D334" s="416"/>
      <c r="E334" s="416"/>
      <c r="F334" s="416"/>
      <c r="G334" s="416"/>
      <c r="H334" s="416"/>
      <c r="I334" s="416"/>
    </row>
    <row r="335" spans="1:9" x14ac:dyDescent="0.2">
      <c r="A335" s="435" t="s">
        <v>692</v>
      </c>
      <c r="B335" s="416"/>
      <c r="C335" s="416"/>
      <c r="D335" s="416"/>
      <c r="E335" s="416"/>
      <c r="F335" s="416"/>
      <c r="G335" s="416"/>
      <c r="H335" s="416"/>
      <c r="I335" s="416"/>
    </row>
    <row r="336" spans="1:9" x14ac:dyDescent="0.2">
      <c r="A336" s="435" t="s">
        <v>693</v>
      </c>
      <c r="B336" s="416"/>
      <c r="C336" s="416"/>
      <c r="D336" s="416"/>
      <c r="E336" s="416"/>
      <c r="F336" s="416"/>
      <c r="G336" s="416"/>
      <c r="H336" s="416"/>
      <c r="I336" s="416"/>
    </row>
    <row r="337" spans="1:9" x14ac:dyDescent="0.2">
      <c r="A337" s="434"/>
      <c r="B337" s="416"/>
      <c r="C337" s="416"/>
      <c r="D337" s="416"/>
      <c r="E337" s="416"/>
      <c r="F337" s="416"/>
      <c r="G337" s="416"/>
      <c r="H337" s="416"/>
      <c r="I337" s="416"/>
    </row>
    <row r="338" spans="1:9" x14ac:dyDescent="0.2">
      <c r="A338" s="436" t="s">
        <v>694</v>
      </c>
      <c r="B338" s="416"/>
      <c r="C338" s="416"/>
      <c r="D338" s="416"/>
      <c r="E338" s="416"/>
      <c r="F338" s="416"/>
      <c r="G338" s="416"/>
      <c r="H338" s="416"/>
      <c r="I338" s="416"/>
    </row>
    <row r="339" spans="1:9" x14ac:dyDescent="0.2">
      <c r="A339" s="434" t="s">
        <v>695</v>
      </c>
      <c r="B339" s="416"/>
      <c r="C339" s="416"/>
      <c r="D339" s="416"/>
      <c r="E339" s="416"/>
      <c r="F339" s="416"/>
      <c r="G339" s="416"/>
      <c r="H339" s="416"/>
      <c r="I339" s="416"/>
    </row>
    <row r="340" spans="1:9" x14ac:dyDescent="0.2">
      <c r="A340" s="435" t="s">
        <v>696</v>
      </c>
      <c r="B340" s="416"/>
      <c r="C340" s="416"/>
      <c r="D340" s="416"/>
      <c r="E340" s="416"/>
      <c r="F340" s="416"/>
      <c r="G340" s="416"/>
      <c r="H340" s="416"/>
      <c r="I340" s="416"/>
    </row>
    <row r="341" spans="1:9" x14ac:dyDescent="0.2">
      <c r="A341" s="434" t="s">
        <v>697</v>
      </c>
      <c r="B341" s="416"/>
      <c r="C341" s="416"/>
      <c r="D341" s="416"/>
      <c r="E341" s="416"/>
      <c r="F341" s="416"/>
      <c r="G341" s="416"/>
      <c r="H341" s="416"/>
      <c r="I341" s="416"/>
    </row>
    <row r="342" spans="1:9" x14ac:dyDescent="0.2">
      <c r="A342" s="434" t="s">
        <v>698</v>
      </c>
      <c r="B342" s="416"/>
      <c r="C342" s="416"/>
      <c r="D342" s="416"/>
      <c r="E342" s="416"/>
      <c r="F342" s="416"/>
      <c r="G342" s="416"/>
      <c r="H342" s="416"/>
      <c r="I342" s="416"/>
    </row>
    <row r="343" spans="1:9" x14ac:dyDescent="0.2">
      <c r="A343" s="338"/>
      <c r="B343" s="338"/>
      <c r="C343" s="338"/>
      <c r="D343" s="338"/>
      <c r="E343" s="338"/>
      <c r="F343" s="338"/>
      <c r="G343" s="338"/>
      <c r="H343" s="338"/>
      <c r="I343" s="338"/>
    </row>
    <row r="344" spans="1:9" x14ac:dyDescent="0.2">
      <c r="A344" s="338"/>
      <c r="B344" s="338"/>
      <c r="C344" s="338"/>
      <c r="D344" s="338"/>
      <c r="E344" s="338"/>
      <c r="F344" s="338"/>
      <c r="G344" s="338"/>
      <c r="H344" s="338"/>
      <c r="I344" s="338"/>
    </row>
    <row r="345" spans="1:9" x14ac:dyDescent="0.2">
      <c r="A345" s="338"/>
      <c r="B345" s="338"/>
      <c r="C345" s="338"/>
      <c r="D345" s="338"/>
      <c r="E345" s="338"/>
      <c r="F345" s="338"/>
      <c r="G345" s="338"/>
      <c r="H345" s="338"/>
      <c r="I345" s="338"/>
    </row>
    <row r="348" spans="1:9" x14ac:dyDescent="0.2">
      <c r="A348" s="439" t="s">
        <v>699</v>
      </c>
      <c r="B348" s="416"/>
      <c r="C348" s="416"/>
      <c r="D348" s="416"/>
      <c r="E348" s="416"/>
      <c r="F348" s="416"/>
      <c r="G348" s="416"/>
      <c r="H348" s="416"/>
      <c r="I348" s="416"/>
    </row>
    <row r="349" spans="1:9" x14ac:dyDescent="0.2">
      <c r="A349" s="338"/>
      <c r="B349" s="338"/>
      <c r="C349" s="338"/>
      <c r="D349" s="338"/>
      <c r="E349" s="338"/>
      <c r="F349" s="338"/>
      <c r="G349" s="338"/>
      <c r="H349" s="338"/>
      <c r="I349" s="338"/>
    </row>
    <row r="350" spans="1:9" x14ac:dyDescent="0.2">
      <c r="A350" s="436" t="s">
        <v>700</v>
      </c>
      <c r="B350" s="416"/>
      <c r="C350" s="416"/>
      <c r="D350" s="416"/>
      <c r="E350" s="416"/>
      <c r="F350" s="416"/>
      <c r="G350" s="416"/>
      <c r="H350" s="416"/>
      <c r="I350" s="416"/>
    </row>
    <row r="351" spans="1:9" x14ac:dyDescent="0.2">
      <c r="A351" s="434" t="s">
        <v>701</v>
      </c>
      <c r="B351" s="416"/>
      <c r="C351" s="416"/>
      <c r="D351" s="416"/>
      <c r="E351" s="416"/>
      <c r="F351" s="416"/>
      <c r="G351" s="416"/>
      <c r="H351" s="416"/>
      <c r="I351" s="416"/>
    </row>
    <row r="352" spans="1:9" x14ac:dyDescent="0.2">
      <c r="A352" s="438" t="s">
        <v>702</v>
      </c>
      <c r="B352" s="416"/>
      <c r="C352" s="416"/>
      <c r="D352" s="416"/>
      <c r="E352" s="416"/>
      <c r="F352" s="416"/>
      <c r="G352" s="416"/>
      <c r="H352" s="416"/>
      <c r="I352" s="416"/>
    </row>
    <row r="353" spans="1:9" x14ac:dyDescent="0.2">
      <c r="A353" s="434" t="s">
        <v>703</v>
      </c>
      <c r="B353" s="416"/>
      <c r="C353" s="416"/>
      <c r="D353" s="416"/>
      <c r="E353" s="416"/>
      <c r="F353" s="416"/>
      <c r="G353" s="416"/>
      <c r="H353" s="416"/>
      <c r="I353" s="416"/>
    </row>
    <row r="354" spans="1:9" x14ac:dyDescent="0.2">
      <c r="A354" s="434" t="s">
        <v>704</v>
      </c>
      <c r="B354" s="416"/>
      <c r="C354" s="416"/>
      <c r="D354" s="416"/>
      <c r="E354" s="416"/>
      <c r="F354" s="416"/>
      <c r="G354" s="416"/>
      <c r="H354" s="416"/>
      <c r="I354" s="416"/>
    </row>
    <row r="355" spans="1:9" x14ac:dyDescent="0.2">
      <c r="A355" s="434"/>
      <c r="B355" s="416"/>
      <c r="C355" s="416"/>
      <c r="D355" s="416"/>
      <c r="E355" s="416"/>
      <c r="F355" s="416"/>
      <c r="G355" s="416"/>
      <c r="H355" s="416"/>
      <c r="I355" s="416"/>
    </row>
    <row r="356" spans="1:9" x14ac:dyDescent="0.2">
      <c r="A356" s="436" t="s">
        <v>705</v>
      </c>
      <c r="B356" s="416"/>
      <c r="C356" s="416"/>
      <c r="D356" s="416"/>
      <c r="E356" s="416"/>
      <c r="F356" s="416"/>
      <c r="G356" s="416"/>
      <c r="H356" s="416"/>
      <c r="I356" s="416"/>
    </row>
    <row r="357" spans="1:9" x14ac:dyDescent="0.2">
      <c r="A357" s="434" t="s">
        <v>706</v>
      </c>
      <c r="B357" s="416"/>
      <c r="C357" s="416"/>
      <c r="D357" s="416"/>
      <c r="E357" s="416"/>
      <c r="F357" s="416"/>
      <c r="G357" s="416"/>
      <c r="H357" s="416"/>
      <c r="I357" s="416"/>
    </row>
    <row r="358" spans="1:9" x14ac:dyDescent="0.2">
      <c r="A358" s="438" t="s">
        <v>707</v>
      </c>
      <c r="B358" s="416"/>
      <c r="C358" s="416"/>
      <c r="D358" s="416"/>
      <c r="E358" s="416"/>
      <c r="F358" s="416"/>
      <c r="G358" s="416"/>
      <c r="H358" s="416"/>
      <c r="I358" s="416"/>
    </row>
    <row r="359" spans="1:9" x14ac:dyDescent="0.2">
      <c r="A359" s="434" t="s">
        <v>708</v>
      </c>
      <c r="B359" s="416"/>
      <c r="C359" s="416"/>
      <c r="D359" s="416"/>
      <c r="E359" s="416"/>
      <c r="F359" s="416"/>
      <c r="G359" s="416"/>
      <c r="H359" s="416"/>
      <c r="I359" s="416"/>
    </row>
    <row r="360" spans="1:9" x14ac:dyDescent="0.2">
      <c r="A360" s="434" t="s">
        <v>709</v>
      </c>
      <c r="B360" s="416"/>
      <c r="C360" s="416"/>
      <c r="D360" s="416"/>
      <c r="E360" s="416"/>
      <c r="F360" s="416"/>
      <c r="G360" s="416"/>
      <c r="H360" s="416"/>
      <c r="I360" s="416"/>
    </row>
    <row r="361" spans="1:9" x14ac:dyDescent="0.2">
      <c r="A361" s="434"/>
      <c r="B361" s="416"/>
      <c r="C361" s="416"/>
      <c r="D361" s="416"/>
      <c r="E361" s="416"/>
      <c r="F361" s="416"/>
      <c r="G361" s="416"/>
      <c r="H361" s="416"/>
      <c r="I361" s="416"/>
    </row>
    <row r="362" spans="1:9" x14ac:dyDescent="0.2">
      <c r="A362" s="436" t="s">
        <v>710</v>
      </c>
      <c r="B362" s="416"/>
      <c r="C362" s="416"/>
      <c r="D362" s="416"/>
      <c r="E362" s="416"/>
      <c r="F362" s="416"/>
      <c r="G362" s="416"/>
      <c r="H362" s="416"/>
      <c r="I362" s="416"/>
    </row>
    <row r="363" spans="1:9" x14ac:dyDescent="0.2">
      <c r="A363" s="434" t="s">
        <v>711</v>
      </c>
      <c r="B363" s="416"/>
      <c r="C363" s="416"/>
      <c r="D363" s="416"/>
      <c r="E363" s="416"/>
      <c r="F363" s="416"/>
      <c r="G363" s="416"/>
      <c r="H363" s="416"/>
      <c r="I363" s="416"/>
    </row>
    <row r="364" spans="1:9" x14ac:dyDescent="0.2">
      <c r="A364" s="438" t="s">
        <v>712</v>
      </c>
      <c r="B364" s="416"/>
      <c r="C364" s="416"/>
      <c r="D364" s="416"/>
      <c r="E364" s="416"/>
      <c r="F364" s="416"/>
      <c r="G364" s="416"/>
      <c r="H364" s="416"/>
      <c r="I364" s="416"/>
    </row>
    <row r="365" spans="1:9" x14ac:dyDescent="0.2">
      <c r="A365" s="434" t="s">
        <v>713</v>
      </c>
      <c r="B365" s="416"/>
      <c r="C365" s="416"/>
      <c r="D365" s="416"/>
      <c r="E365" s="416"/>
      <c r="F365" s="416"/>
      <c r="G365" s="416"/>
      <c r="H365" s="416"/>
      <c r="I365" s="416"/>
    </row>
    <row r="366" spans="1:9" x14ac:dyDescent="0.2">
      <c r="A366" s="434" t="s">
        <v>714</v>
      </c>
      <c r="B366" s="416"/>
      <c r="C366" s="416"/>
      <c r="D366" s="416"/>
      <c r="E366" s="416"/>
      <c r="F366" s="416"/>
      <c r="G366" s="416"/>
      <c r="H366" s="416"/>
      <c r="I366" s="416"/>
    </row>
    <row r="367" spans="1:9" x14ac:dyDescent="0.2">
      <c r="A367" s="434"/>
      <c r="B367" s="416"/>
      <c r="C367" s="416"/>
      <c r="D367" s="416"/>
      <c r="E367" s="416"/>
      <c r="F367" s="416"/>
      <c r="G367" s="416"/>
      <c r="H367" s="416"/>
      <c r="I367" s="416"/>
    </row>
    <row r="368" spans="1:9" x14ac:dyDescent="0.2">
      <c r="A368" s="436" t="s">
        <v>715</v>
      </c>
      <c r="B368" s="416"/>
      <c r="C368" s="416"/>
      <c r="D368" s="416"/>
      <c r="E368" s="416"/>
      <c r="F368" s="416"/>
      <c r="G368" s="416"/>
      <c r="H368" s="416"/>
      <c r="I368" s="416"/>
    </row>
    <row r="369" spans="1:9" x14ac:dyDescent="0.2">
      <c r="A369" s="434" t="s">
        <v>716</v>
      </c>
      <c r="B369" s="416"/>
      <c r="C369" s="416"/>
      <c r="D369" s="416"/>
      <c r="E369" s="416"/>
      <c r="F369" s="416"/>
      <c r="G369" s="416"/>
      <c r="H369" s="416"/>
      <c r="I369" s="416"/>
    </row>
    <row r="370" spans="1:9" x14ac:dyDescent="0.2">
      <c r="A370" s="438" t="s">
        <v>717</v>
      </c>
      <c r="B370" s="416"/>
      <c r="C370" s="416"/>
      <c r="D370" s="416"/>
      <c r="E370" s="416"/>
      <c r="F370" s="416"/>
      <c r="G370" s="416"/>
      <c r="H370" s="416"/>
      <c r="I370" s="416"/>
    </row>
    <row r="371" spans="1:9" x14ac:dyDescent="0.2">
      <c r="A371" s="434" t="s">
        <v>718</v>
      </c>
      <c r="B371" s="416"/>
      <c r="C371" s="416"/>
      <c r="D371" s="416"/>
      <c r="E371" s="416"/>
      <c r="F371" s="416"/>
      <c r="G371" s="416"/>
      <c r="H371" s="416"/>
      <c r="I371" s="416"/>
    </row>
    <row r="372" spans="1:9" x14ac:dyDescent="0.2">
      <c r="A372" s="434" t="s">
        <v>719</v>
      </c>
      <c r="B372" s="416"/>
      <c r="C372" s="416"/>
      <c r="D372" s="416"/>
      <c r="E372" s="416"/>
      <c r="F372" s="416"/>
      <c r="G372" s="416"/>
      <c r="H372" s="416"/>
      <c r="I372" s="416"/>
    </row>
    <row r="373" spans="1:9" x14ac:dyDescent="0.2">
      <c r="A373" s="434"/>
      <c r="B373" s="416"/>
      <c r="C373" s="416"/>
      <c r="D373" s="416"/>
      <c r="E373" s="416"/>
      <c r="F373" s="416"/>
      <c r="G373" s="416"/>
      <c r="H373" s="416"/>
      <c r="I373" s="416"/>
    </row>
    <row r="374" spans="1:9" x14ac:dyDescent="0.2">
      <c r="A374" s="436" t="s">
        <v>720</v>
      </c>
      <c r="B374" s="416"/>
      <c r="C374" s="416"/>
      <c r="D374" s="416"/>
      <c r="E374" s="416"/>
      <c r="F374" s="416"/>
      <c r="G374" s="416"/>
      <c r="H374" s="416"/>
      <c r="I374" s="416"/>
    </row>
    <row r="375" spans="1:9" x14ac:dyDescent="0.2">
      <c r="A375" s="435" t="s">
        <v>721</v>
      </c>
      <c r="B375" s="416"/>
      <c r="C375" s="416"/>
      <c r="D375" s="416"/>
      <c r="E375" s="416"/>
      <c r="F375" s="416"/>
      <c r="G375" s="416"/>
      <c r="H375" s="416"/>
      <c r="I375" s="416"/>
    </row>
    <row r="376" spans="1:9" x14ac:dyDescent="0.2">
      <c r="A376" s="435" t="s">
        <v>722</v>
      </c>
      <c r="B376" s="416"/>
      <c r="C376" s="416"/>
      <c r="D376" s="416"/>
      <c r="E376" s="416"/>
      <c r="F376" s="416"/>
      <c r="G376" s="416"/>
      <c r="H376" s="416"/>
      <c r="I376" s="416"/>
    </row>
    <row r="379" spans="1:9" x14ac:dyDescent="0.2">
      <c r="A379" s="439" t="s">
        <v>723</v>
      </c>
      <c r="B379" s="416"/>
      <c r="C379" s="416"/>
      <c r="D379" s="416"/>
      <c r="E379" s="416"/>
      <c r="F379" s="416"/>
      <c r="G379" s="416"/>
      <c r="H379" s="416"/>
      <c r="I379" s="416"/>
    </row>
    <row r="380" spans="1:9" x14ac:dyDescent="0.2">
      <c r="A380" s="434"/>
      <c r="B380" s="416"/>
      <c r="C380" s="416"/>
      <c r="D380" s="416"/>
      <c r="E380" s="416"/>
      <c r="F380" s="416"/>
      <c r="G380" s="416"/>
      <c r="H380" s="416"/>
      <c r="I380" s="416"/>
    </row>
    <row r="381" spans="1:9" x14ac:dyDescent="0.2">
      <c r="A381" s="436" t="s">
        <v>724</v>
      </c>
      <c r="B381" s="416"/>
      <c r="C381" s="416"/>
      <c r="D381" s="416"/>
      <c r="E381" s="416"/>
      <c r="F381" s="416"/>
      <c r="G381" s="416"/>
      <c r="H381" s="416"/>
      <c r="I381" s="416"/>
    </row>
    <row r="382" spans="1:9" x14ac:dyDescent="0.2">
      <c r="A382" s="434" t="s">
        <v>725</v>
      </c>
      <c r="B382" s="416"/>
      <c r="C382" s="416"/>
      <c r="D382" s="416"/>
      <c r="E382" s="416"/>
      <c r="F382" s="416"/>
      <c r="G382" s="416"/>
      <c r="H382" s="416"/>
      <c r="I382" s="416"/>
    </row>
    <row r="383" spans="1:9" x14ac:dyDescent="0.2">
      <c r="A383" s="434" t="s">
        <v>726</v>
      </c>
      <c r="B383" s="416"/>
      <c r="C383" s="416"/>
      <c r="D383" s="416"/>
      <c r="E383" s="416"/>
      <c r="F383" s="416"/>
      <c r="G383" s="416"/>
      <c r="H383" s="416"/>
      <c r="I383" s="416"/>
    </row>
    <row r="384" spans="1:9" x14ac:dyDescent="0.2">
      <c r="A384" s="434" t="s">
        <v>727</v>
      </c>
      <c r="B384" s="416"/>
      <c r="C384" s="416"/>
      <c r="D384" s="416"/>
      <c r="E384" s="416"/>
      <c r="F384" s="416"/>
      <c r="G384" s="416"/>
      <c r="H384" s="416"/>
      <c r="I384" s="416"/>
    </row>
    <row r="385" spans="1:9" x14ac:dyDescent="0.2">
      <c r="A385" s="434" t="s">
        <v>728</v>
      </c>
      <c r="B385" s="416"/>
      <c r="C385" s="416"/>
      <c r="D385" s="416"/>
      <c r="E385" s="416"/>
      <c r="F385" s="416"/>
      <c r="G385" s="416"/>
      <c r="H385" s="416"/>
      <c r="I385" s="416"/>
    </row>
    <row r="386" spans="1:9" x14ac:dyDescent="0.2">
      <c r="A386" s="438" t="s">
        <v>729</v>
      </c>
      <c r="B386" s="416"/>
      <c r="C386" s="416"/>
      <c r="D386" s="416"/>
      <c r="E386" s="416"/>
      <c r="F386" s="416"/>
      <c r="G386" s="416"/>
      <c r="H386" s="416"/>
      <c r="I386" s="416"/>
    </row>
    <row r="387" spans="1:9" x14ac:dyDescent="0.2">
      <c r="A387" s="434"/>
      <c r="B387" s="416"/>
      <c r="C387" s="416"/>
      <c r="D387" s="416"/>
      <c r="E387" s="416"/>
      <c r="F387" s="416"/>
      <c r="G387" s="416"/>
      <c r="H387" s="416"/>
      <c r="I387" s="416"/>
    </row>
    <row r="388" spans="1:9" x14ac:dyDescent="0.2">
      <c r="A388" s="436" t="s">
        <v>730</v>
      </c>
      <c r="B388" s="416"/>
      <c r="C388" s="416"/>
      <c r="D388" s="416"/>
      <c r="E388" s="416"/>
      <c r="F388" s="416"/>
      <c r="G388" s="416"/>
      <c r="H388" s="416"/>
      <c r="I388" s="416"/>
    </row>
    <row r="389" spans="1:9" x14ac:dyDescent="0.2">
      <c r="A389" s="434" t="s">
        <v>731</v>
      </c>
      <c r="B389" s="416"/>
      <c r="C389" s="416"/>
      <c r="D389" s="416"/>
      <c r="E389" s="416"/>
      <c r="F389" s="416"/>
      <c r="G389" s="416"/>
      <c r="H389" s="416"/>
      <c r="I389" s="416"/>
    </row>
    <row r="390" spans="1:9" x14ac:dyDescent="0.2">
      <c r="A390" s="434" t="s">
        <v>732</v>
      </c>
      <c r="B390" s="416"/>
      <c r="C390" s="416"/>
      <c r="D390" s="416"/>
      <c r="E390" s="416"/>
      <c r="F390" s="416"/>
      <c r="G390" s="416"/>
      <c r="H390" s="416"/>
      <c r="I390" s="416"/>
    </row>
    <row r="391" spans="1:9" x14ac:dyDescent="0.2">
      <c r="A391" s="438" t="s">
        <v>733</v>
      </c>
      <c r="B391" s="416"/>
      <c r="C391" s="416"/>
      <c r="D391" s="416"/>
      <c r="E391" s="416"/>
      <c r="F391" s="416"/>
      <c r="G391" s="416"/>
      <c r="H391" s="416"/>
      <c r="I391" s="416"/>
    </row>
    <row r="392" spans="1:9" x14ac:dyDescent="0.2">
      <c r="A392" s="438" t="s">
        <v>734</v>
      </c>
      <c r="B392" s="416"/>
      <c r="C392" s="416"/>
      <c r="D392" s="416"/>
      <c r="E392" s="416"/>
      <c r="F392" s="416"/>
      <c r="G392" s="416"/>
      <c r="H392" s="416"/>
      <c r="I392" s="416"/>
    </row>
    <row r="393" spans="1:9" x14ac:dyDescent="0.2">
      <c r="A393" s="438" t="s">
        <v>735</v>
      </c>
      <c r="B393" s="416"/>
      <c r="C393" s="416"/>
      <c r="D393" s="416"/>
      <c r="E393" s="416"/>
      <c r="F393" s="416"/>
      <c r="G393" s="416"/>
      <c r="H393" s="416"/>
      <c r="I393" s="416"/>
    </row>
    <row r="394" spans="1:9" x14ac:dyDescent="0.2">
      <c r="A394" s="438" t="s">
        <v>736</v>
      </c>
      <c r="B394" s="416"/>
      <c r="C394" s="416"/>
      <c r="D394" s="416"/>
      <c r="E394" s="416"/>
      <c r="F394" s="416"/>
      <c r="G394" s="416"/>
      <c r="H394" s="416"/>
      <c r="I394" s="416"/>
    </row>
    <row r="395" spans="1:9" x14ac:dyDescent="0.2">
      <c r="A395" s="438" t="s">
        <v>737</v>
      </c>
      <c r="B395" s="416"/>
      <c r="C395" s="416"/>
      <c r="D395" s="416"/>
      <c r="E395" s="416"/>
      <c r="F395" s="416"/>
      <c r="G395" s="416"/>
      <c r="H395" s="416"/>
      <c r="I395" s="416"/>
    </row>
    <row r="396" spans="1:9" x14ac:dyDescent="0.2">
      <c r="A396" s="434"/>
      <c r="B396" s="416"/>
      <c r="C396" s="416"/>
      <c r="D396" s="416"/>
      <c r="E396" s="416"/>
      <c r="F396" s="416"/>
      <c r="G396" s="416"/>
      <c r="H396" s="416"/>
      <c r="I396" s="416"/>
    </row>
    <row r="397" spans="1:9" x14ac:dyDescent="0.2">
      <c r="A397" s="436" t="s">
        <v>738</v>
      </c>
      <c r="B397" s="416"/>
      <c r="C397" s="416"/>
      <c r="D397" s="416"/>
      <c r="E397" s="416"/>
      <c r="F397" s="416"/>
      <c r="G397" s="416"/>
      <c r="H397" s="416"/>
      <c r="I397" s="416"/>
    </row>
    <row r="398" spans="1:9" x14ac:dyDescent="0.2">
      <c r="A398" s="434" t="s">
        <v>739</v>
      </c>
      <c r="B398" s="416"/>
      <c r="C398" s="416"/>
      <c r="D398" s="416"/>
      <c r="E398" s="416"/>
      <c r="F398" s="416"/>
      <c r="G398" s="416"/>
      <c r="H398" s="416"/>
      <c r="I398" s="416"/>
    </row>
    <row r="399" spans="1:9" x14ac:dyDescent="0.2">
      <c r="A399" s="434" t="s">
        <v>740</v>
      </c>
      <c r="B399" s="416"/>
      <c r="C399" s="416"/>
      <c r="D399" s="416"/>
      <c r="E399" s="416"/>
      <c r="F399" s="416"/>
      <c r="G399" s="416"/>
      <c r="H399" s="416"/>
      <c r="I399" s="416"/>
    </row>
    <row r="400" spans="1:9" x14ac:dyDescent="0.2">
      <c r="A400" s="434" t="s">
        <v>741</v>
      </c>
      <c r="B400" s="416"/>
      <c r="C400" s="416"/>
      <c r="D400" s="416"/>
      <c r="E400" s="416"/>
      <c r="F400" s="416"/>
      <c r="G400" s="416"/>
      <c r="H400" s="416"/>
      <c r="I400" s="416"/>
    </row>
    <row r="401" spans="1:9" x14ac:dyDescent="0.2">
      <c r="A401" s="438" t="s">
        <v>742</v>
      </c>
      <c r="B401" s="416"/>
      <c r="C401" s="416"/>
      <c r="D401" s="416"/>
      <c r="E401" s="416"/>
      <c r="F401" s="416"/>
      <c r="G401" s="416"/>
      <c r="H401" s="416"/>
      <c r="I401" s="416"/>
    </row>
    <row r="402" spans="1:9" x14ac:dyDescent="0.2">
      <c r="A402" s="434"/>
      <c r="B402" s="416"/>
      <c r="C402" s="416"/>
      <c r="D402" s="416"/>
      <c r="E402" s="416"/>
      <c r="F402" s="416"/>
      <c r="G402" s="416"/>
      <c r="H402" s="416"/>
      <c r="I402" s="416"/>
    </row>
    <row r="403" spans="1:9" x14ac:dyDescent="0.2">
      <c r="A403" s="436" t="s">
        <v>743</v>
      </c>
      <c r="B403" s="416"/>
      <c r="C403" s="416"/>
      <c r="D403" s="416"/>
      <c r="E403" s="416"/>
      <c r="F403" s="416"/>
      <c r="G403" s="416"/>
      <c r="H403" s="416"/>
      <c r="I403" s="416"/>
    </row>
    <row r="404" spans="1:9" x14ac:dyDescent="0.2">
      <c r="A404" s="434" t="s">
        <v>744</v>
      </c>
      <c r="B404" s="416"/>
      <c r="C404" s="416"/>
      <c r="D404" s="416"/>
      <c r="E404" s="416"/>
      <c r="F404" s="416"/>
      <c r="G404" s="416"/>
      <c r="H404" s="416"/>
      <c r="I404" s="416"/>
    </row>
    <row r="405" spans="1:9" x14ac:dyDescent="0.2">
      <c r="A405" s="434" t="s">
        <v>745</v>
      </c>
      <c r="B405" s="416"/>
      <c r="C405" s="416"/>
      <c r="D405" s="416"/>
      <c r="E405" s="416"/>
      <c r="F405" s="416"/>
      <c r="G405" s="416"/>
      <c r="H405" s="416"/>
      <c r="I405" s="416"/>
    </row>
    <row r="406" spans="1:9" x14ac:dyDescent="0.2">
      <c r="A406" s="434" t="s">
        <v>746</v>
      </c>
      <c r="B406" s="416"/>
      <c r="C406" s="416"/>
      <c r="D406" s="416"/>
      <c r="E406" s="416"/>
      <c r="F406" s="416"/>
      <c r="G406" s="416"/>
      <c r="H406" s="416"/>
      <c r="I406" s="416"/>
    </row>
    <row r="407" spans="1:9" x14ac:dyDescent="0.2">
      <c r="A407" s="434" t="s">
        <v>747</v>
      </c>
      <c r="B407" s="416"/>
      <c r="C407" s="416"/>
      <c r="D407" s="416"/>
      <c r="E407" s="416"/>
      <c r="F407" s="416"/>
      <c r="G407" s="416"/>
      <c r="H407" s="416"/>
      <c r="I407" s="416"/>
    </row>
    <row r="408" spans="1:9" x14ac:dyDescent="0.2">
      <c r="A408" s="434" t="s">
        <v>748</v>
      </c>
      <c r="B408" s="416"/>
      <c r="C408" s="416"/>
      <c r="D408" s="416"/>
      <c r="E408" s="416"/>
      <c r="F408" s="416"/>
      <c r="G408" s="416"/>
      <c r="H408" s="416"/>
      <c r="I408" s="416"/>
    </row>
    <row r="409" spans="1:9" x14ac:dyDescent="0.2">
      <c r="A409" s="434" t="s">
        <v>749</v>
      </c>
      <c r="B409" s="416"/>
      <c r="C409" s="416"/>
      <c r="D409" s="416"/>
      <c r="E409" s="416"/>
      <c r="F409" s="416"/>
      <c r="G409" s="416"/>
      <c r="H409" s="416"/>
      <c r="I409" s="416"/>
    </row>
    <row r="410" spans="1:9" x14ac:dyDescent="0.2">
      <c r="A410" s="434" t="s">
        <v>750</v>
      </c>
      <c r="B410" s="416"/>
      <c r="C410" s="416"/>
      <c r="D410" s="416"/>
      <c r="E410" s="416"/>
      <c r="F410" s="416"/>
      <c r="G410" s="416"/>
      <c r="H410" s="416"/>
      <c r="I410" s="416"/>
    </row>
    <row r="411" spans="1:9" x14ac:dyDescent="0.2">
      <c r="A411" s="434" t="s">
        <v>751</v>
      </c>
      <c r="B411" s="416"/>
      <c r="C411" s="416"/>
      <c r="D411" s="416"/>
      <c r="E411" s="416"/>
      <c r="F411" s="416"/>
      <c r="G411" s="416"/>
      <c r="H411" s="416"/>
      <c r="I411" s="416"/>
    </row>
    <row r="412" spans="1:9" x14ac:dyDescent="0.2">
      <c r="A412" s="434"/>
      <c r="B412" s="416"/>
      <c r="C412" s="416"/>
      <c r="D412" s="416"/>
      <c r="E412" s="416"/>
      <c r="F412" s="416"/>
      <c r="G412" s="416"/>
      <c r="H412" s="416"/>
      <c r="I412" s="416"/>
    </row>
    <row r="413" spans="1:9" x14ac:dyDescent="0.2">
      <c r="A413" s="436" t="s">
        <v>752</v>
      </c>
      <c r="B413" s="416"/>
      <c r="C413" s="416"/>
      <c r="D413" s="416"/>
      <c r="E413" s="416"/>
      <c r="F413" s="416"/>
      <c r="G413" s="416"/>
      <c r="H413" s="416"/>
      <c r="I413" s="416"/>
    </row>
    <row r="414" spans="1:9" x14ac:dyDescent="0.2">
      <c r="A414" s="434" t="s">
        <v>753</v>
      </c>
      <c r="B414" s="416"/>
      <c r="C414" s="416"/>
      <c r="D414" s="416"/>
      <c r="E414" s="416"/>
      <c r="F414" s="416"/>
      <c r="G414" s="416"/>
      <c r="H414" s="416"/>
      <c r="I414" s="416"/>
    </row>
    <row r="415" spans="1:9" x14ac:dyDescent="0.2">
      <c r="A415" s="434" t="s">
        <v>754</v>
      </c>
      <c r="B415" s="416"/>
      <c r="C415" s="416"/>
      <c r="D415" s="416"/>
      <c r="E415" s="416"/>
      <c r="F415" s="416"/>
      <c r="G415" s="416"/>
      <c r="H415" s="416"/>
      <c r="I415" s="416"/>
    </row>
    <row r="416" spans="1:9" x14ac:dyDescent="0.2">
      <c r="A416" s="434" t="s">
        <v>755</v>
      </c>
      <c r="B416" s="416"/>
      <c r="C416" s="416"/>
      <c r="D416" s="416"/>
      <c r="E416" s="416"/>
      <c r="F416" s="416"/>
      <c r="G416" s="416"/>
      <c r="H416" s="416"/>
      <c r="I416" s="416"/>
    </row>
    <row r="417" spans="1:9" x14ac:dyDescent="0.2">
      <c r="A417" s="434"/>
      <c r="B417" s="416"/>
      <c r="C417" s="416"/>
      <c r="D417" s="416"/>
      <c r="E417" s="416"/>
      <c r="F417" s="416"/>
      <c r="G417" s="416"/>
      <c r="H417" s="416"/>
      <c r="I417" s="416"/>
    </row>
    <row r="418" spans="1:9" x14ac:dyDescent="0.2">
      <c r="A418" s="435" t="s">
        <v>756</v>
      </c>
      <c r="B418" s="416"/>
      <c r="C418" s="416"/>
      <c r="D418" s="416"/>
      <c r="E418" s="416"/>
      <c r="F418" s="416"/>
      <c r="G418" s="416"/>
      <c r="H418" s="416"/>
      <c r="I418" s="416"/>
    </row>
    <row r="419" spans="1:9" x14ac:dyDescent="0.2">
      <c r="A419" s="435" t="s">
        <v>757</v>
      </c>
      <c r="B419" s="416"/>
      <c r="C419" s="416"/>
      <c r="D419" s="416"/>
      <c r="E419" s="416"/>
      <c r="F419" s="416"/>
      <c r="G419" s="416"/>
      <c r="H419" s="416"/>
      <c r="I419" s="416"/>
    </row>
    <row r="420" spans="1:9" x14ac:dyDescent="0.2">
      <c r="A420" s="435" t="s">
        <v>758</v>
      </c>
      <c r="B420" s="416"/>
      <c r="C420" s="416"/>
      <c r="D420" s="416"/>
      <c r="E420" s="416"/>
      <c r="F420" s="416"/>
      <c r="G420" s="416"/>
      <c r="H420" s="416"/>
      <c r="I420" s="416"/>
    </row>
    <row r="421" spans="1:9" x14ac:dyDescent="0.2">
      <c r="A421" s="435" t="s">
        <v>759</v>
      </c>
      <c r="B421" s="416"/>
      <c r="C421" s="416"/>
      <c r="D421" s="416"/>
      <c r="E421" s="416"/>
      <c r="F421" s="416"/>
      <c r="G421" s="416"/>
      <c r="H421" s="416"/>
      <c r="I421" s="416"/>
    </row>
    <row r="422" spans="1:9" x14ac:dyDescent="0.2">
      <c r="A422" s="435" t="s">
        <v>760</v>
      </c>
      <c r="B422" s="416"/>
      <c r="C422" s="416"/>
      <c r="D422" s="416"/>
      <c r="E422" s="416"/>
      <c r="F422" s="416"/>
      <c r="G422" s="416"/>
      <c r="H422" s="416"/>
      <c r="I422" s="416"/>
    </row>
    <row r="423" spans="1:9" x14ac:dyDescent="0.2">
      <c r="A423" s="435" t="s">
        <v>761</v>
      </c>
      <c r="B423" s="416"/>
      <c r="C423" s="416"/>
      <c r="D423" s="416"/>
      <c r="E423" s="416"/>
      <c r="F423" s="416"/>
      <c r="G423" s="416"/>
      <c r="H423" s="416"/>
      <c r="I423" s="416"/>
    </row>
    <row r="424" spans="1:9" x14ac:dyDescent="0.2">
      <c r="A424" s="434"/>
      <c r="B424" s="416"/>
      <c r="C424" s="416"/>
      <c r="D424" s="416"/>
      <c r="E424" s="416"/>
      <c r="F424" s="416"/>
      <c r="G424" s="416"/>
      <c r="H424" s="416"/>
      <c r="I424" s="416"/>
    </row>
    <row r="425" spans="1:9" x14ac:dyDescent="0.2">
      <c r="A425" s="436" t="s">
        <v>762</v>
      </c>
      <c r="B425" s="416"/>
      <c r="C425" s="416"/>
      <c r="D425" s="416"/>
      <c r="E425" s="416"/>
      <c r="F425" s="416"/>
      <c r="G425" s="416"/>
      <c r="H425" s="416"/>
      <c r="I425" s="416"/>
    </row>
    <row r="426" spans="1:9" x14ac:dyDescent="0.2">
      <c r="A426" s="434" t="s">
        <v>763</v>
      </c>
      <c r="B426" s="416"/>
      <c r="C426" s="416"/>
      <c r="D426" s="416"/>
      <c r="E426" s="416"/>
      <c r="F426" s="416"/>
      <c r="G426" s="416"/>
      <c r="H426" s="416"/>
      <c r="I426" s="416"/>
    </row>
    <row r="427" spans="1:9" x14ac:dyDescent="0.2">
      <c r="A427" s="434" t="s">
        <v>764</v>
      </c>
      <c r="B427" s="416"/>
      <c r="C427" s="416"/>
      <c r="D427" s="416"/>
      <c r="E427" s="416"/>
      <c r="F427" s="416"/>
      <c r="G427" s="416"/>
      <c r="H427" s="416"/>
      <c r="I427" s="416"/>
    </row>
    <row r="428" spans="1:9" x14ac:dyDescent="0.2">
      <c r="A428" s="434" t="s">
        <v>765</v>
      </c>
      <c r="B428" s="416"/>
      <c r="C428" s="416"/>
      <c r="D428" s="416"/>
      <c r="E428" s="416"/>
      <c r="F428" s="416"/>
      <c r="G428" s="416"/>
      <c r="H428" s="416"/>
      <c r="I428" s="416"/>
    </row>
    <row r="429" spans="1:9" x14ac:dyDescent="0.2">
      <c r="A429" s="436" t="s">
        <v>766</v>
      </c>
      <c r="B429" s="416"/>
      <c r="C429" s="416"/>
      <c r="D429" s="416"/>
      <c r="E429" s="416"/>
      <c r="F429" s="416"/>
      <c r="G429" s="416"/>
      <c r="H429" s="416"/>
      <c r="I429" s="416"/>
    </row>
    <row r="431" spans="1:9" x14ac:dyDescent="0.2">
      <c r="B431" s="347" t="s">
        <v>767</v>
      </c>
      <c r="C431" s="348" t="s">
        <v>768</v>
      </c>
      <c r="D431" s="348" t="s">
        <v>769</v>
      </c>
      <c r="E431" s="348" t="s">
        <v>770</v>
      </c>
      <c r="F431" s="348" t="s">
        <v>771</v>
      </c>
    </row>
    <row r="432" spans="1:9" x14ac:dyDescent="0.2">
      <c r="B432" s="349" t="s">
        <v>772</v>
      </c>
      <c r="C432" s="350" t="s">
        <v>773</v>
      </c>
      <c r="D432" s="350" t="s">
        <v>774</v>
      </c>
    </row>
    <row r="433" spans="2:4" ht="18.75" customHeight="1" x14ac:dyDescent="0.25">
      <c r="B433" s="347" t="s">
        <v>775</v>
      </c>
      <c r="C433" s="351" t="s">
        <v>776</v>
      </c>
      <c r="D433" s="348" t="s">
        <v>777</v>
      </c>
    </row>
    <row r="435" spans="2:4" ht="18.75" customHeight="1" x14ac:dyDescent="0.25">
      <c r="B435" s="352" t="s">
        <v>778</v>
      </c>
      <c r="C435" s="353" t="s">
        <v>779</v>
      </c>
      <c r="D435" s="348" t="s">
        <v>780</v>
      </c>
    </row>
    <row r="436" spans="2:4" x14ac:dyDescent="0.2">
      <c r="B436" s="354" t="s">
        <v>781</v>
      </c>
    </row>
  </sheetData>
  <mergeCells count="342">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A329:I329"/>
    <mergeCell ref="A421:I421"/>
    <mergeCell ref="A304:I304"/>
    <mergeCell ref="A396:I396"/>
    <mergeCell ref="A358:I358"/>
    <mergeCell ref="A162:I162"/>
    <mergeCell ref="A398:I398"/>
    <mergeCell ref="A422:I422"/>
    <mergeCell ref="C75:I75"/>
    <mergeCell ref="A402:I402"/>
    <mergeCell ref="A168:I168"/>
    <mergeCell ref="A99:C99"/>
    <mergeCell ref="C70:I70"/>
    <mergeCell ref="A326:I326"/>
    <mergeCell ref="A120:I120"/>
    <mergeCell ref="A303:I303"/>
    <mergeCell ref="A219:I219"/>
    <mergeCell ref="A332:I332"/>
    <mergeCell ref="A123:I123"/>
    <mergeCell ref="A250:I250"/>
    <mergeCell ref="A237:I237"/>
    <mergeCell ref="A187:I187"/>
    <mergeCell ref="C73:I73"/>
    <mergeCell ref="A2:I2"/>
    <mergeCell ref="A361:I361"/>
    <mergeCell ref="A311:I311"/>
    <mergeCell ref="A91:C91"/>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E85:I85"/>
    <mergeCell ref="A291:I291"/>
    <mergeCell ref="A241:I241"/>
    <mergeCell ref="A228:I228"/>
    <mergeCell ref="E93:I93"/>
    <mergeCell ref="A355:I355"/>
    <mergeCell ref="A172:I172"/>
    <mergeCell ref="A305:I305"/>
    <mergeCell ref="A243:I243"/>
    <mergeCell ref="A292:I292"/>
    <mergeCell ref="A236:I236"/>
    <mergeCell ref="A163:I163"/>
    <mergeCell ref="A294:I294"/>
    <mergeCell ref="A308:I308"/>
    <mergeCell ref="A102:I102"/>
    <mergeCell ref="A173:I173"/>
    <mergeCell ref="A229:I229"/>
    <mergeCell ref="A310:I310"/>
    <mergeCell ref="A166:I166"/>
    <mergeCell ref="A1:I1"/>
    <mergeCell ref="A334:I334"/>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197:I197"/>
    <mergeCell ref="A124:I124"/>
    <mergeCell ref="A360:I360"/>
    <mergeCell ref="A90:C90"/>
    <mergeCell ref="A149:I149"/>
    <mergeCell ref="C72:I72"/>
    <mergeCell ref="A426:I426"/>
    <mergeCell ref="A364:I364"/>
    <mergeCell ref="A413:I413"/>
    <mergeCell ref="A217:I217"/>
    <mergeCell ref="A136:I136"/>
    <mergeCell ref="A192:I192"/>
    <mergeCell ref="A428:I428"/>
    <mergeCell ref="E92:I92"/>
    <mergeCell ref="A415:I415"/>
    <mergeCell ref="A129:I129"/>
    <mergeCell ref="A194:I194"/>
    <mergeCell ref="A181:I181"/>
    <mergeCell ref="E94:I94"/>
    <mergeCell ref="A131:I131"/>
    <mergeCell ref="A352:I352"/>
    <mergeCell ref="A143:I143"/>
    <mergeCell ref="A276:I276"/>
    <mergeCell ref="A270:I270"/>
    <mergeCell ref="A368:I368"/>
    <mergeCell ref="A383:I383"/>
    <mergeCell ref="A385:I385"/>
    <mergeCell ref="A213:I213"/>
    <mergeCell ref="A384:I384"/>
    <mergeCell ref="A151:I151"/>
    <mergeCell ref="A425:I425"/>
    <mergeCell ref="A204:I204"/>
    <mergeCell ref="A269:I269"/>
    <mergeCell ref="A135:I135"/>
    <mergeCell ref="A206:I206"/>
    <mergeCell ref="A262:I262"/>
    <mergeCell ref="A333:I333"/>
    <mergeCell ref="A362:I362"/>
    <mergeCell ref="A245:I245"/>
    <mergeCell ref="A337:I337"/>
    <mergeCell ref="A339:I339"/>
    <mergeCell ref="A359:I359"/>
    <mergeCell ref="A153:I153"/>
    <mergeCell ref="A150:I150"/>
    <mergeCell ref="A321:I321"/>
    <mergeCell ref="A144:I144"/>
    <mergeCell ref="A386:I386"/>
    <mergeCell ref="A215:I215"/>
    <mergeCell ref="A373:I373"/>
    <mergeCell ref="A152:I152"/>
    <mergeCell ref="A323:I323"/>
    <mergeCell ref="A289:I289"/>
    <mergeCell ref="A226:I226"/>
    <mergeCell ref="A397:I397"/>
    <mergeCell ref="A417:I417"/>
    <mergeCell ref="A221:I221"/>
    <mergeCell ref="A196:I196"/>
    <mergeCell ref="A223:I223"/>
    <mergeCell ref="A198:I198"/>
    <mergeCell ref="A394:I394"/>
    <mergeCell ref="A318:I318"/>
    <mergeCell ref="A348:I348"/>
    <mergeCell ref="A127:I127"/>
    <mergeCell ref="A249:I249"/>
    <mergeCell ref="A320:I320"/>
    <mergeCell ref="A176:I176"/>
    <mergeCell ref="A412:I412"/>
    <mergeCell ref="A257:I257"/>
    <mergeCell ref="A191:I191"/>
    <mergeCell ref="A178:I178"/>
    <mergeCell ref="A252:I252"/>
    <mergeCell ref="A267:I267"/>
    <mergeCell ref="A128:I128"/>
    <mergeCell ref="A405:I405"/>
    <mergeCell ref="A407:I407"/>
    <mergeCell ref="A400:I400"/>
    <mergeCell ref="A408:I408"/>
    <mergeCell ref="A297:I297"/>
    <mergeCell ref="A235:I235"/>
    <mergeCell ref="A406:I406"/>
    <mergeCell ref="A247:I247"/>
    <mergeCell ref="A185:I185"/>
    <mergeCell ref="A312:I312"/>
    <mergeCell ref="A106:I106"/>
    <mergeCell ref="A404:I404"/>
    <mergeCell ref="C74:I74"/>
    <mergeCell ref="A170:I170"/>
    <mergeCell ref="A130:I130"/>
    <mergeCell ref="A201:I201"/>
    <mergeCell ref="A98:C98"/>
    <mergeCell ref="A138:I138"/>
    <mergeCell ref="A132:I132"/>
    <mergeCell ref="A399:I399"/>
    <mergeCell ref="A119:I119"/>
    <mergeCell ref="A114:I114"/>
    <mergeCell ref="A107:I107"/>
    <mergeCell ref="A103:I103"/>
    <mergeCell ref="A83:I83"/>
    <mergeCell ref="A85:C85"/>
    <mergeCell ref="E90:I90"/>
    <mergeCell ref="E91:I91"/>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E96:I96"/>
    <mergeCell ref="A246:I246"/>
    <mergeCell ref="A233:I233"/>
    <mergeCell ref="E98:I98"/>
    <mergeCell ref="A248:I248"/>
    <mergeCell ref="A104:I104"/>
    <mergeCell ref="C76:I76"/>
    <mergeCell ref="A212:I212"/>
    <mergeCell ref="A283:I283"/>
    <mergeCell ref="A388:I388"/>
    <mergeCell ref="A277:I277"/>
    <mergeCell ref="A89:C89"/>
    <mergeCell ref="A108:I108"/>
    <mergeCell ref="A375:I375"/>
    <mergeCell ref="A154:I154"/>
    <mergeCell ref="A214:I214"/>
    <mergeCell ref="A341:I341"/>
    <mergeCell ref="A306:I306"/>
    <mergeCell ref="A278:I278"/>
    <mergeCell ref="A230:I230"/>
    <mergeCell ref="E95:I95"/>
    <mergeCell ref="E89:I89"/>
    <mergeCell ref="A295:I295"/>
    <mergeCell ref="A167:I167"/>
    <mergeCell ref="A232:I232"/>
    <mergeCell ref="A302:I302"/>
    <mergeCell ref="A298:I298"/>
    <mergeCell ref="A322:I322"/>
    <mergeCell ref="A327:I327"/>
    <mergeCell ref="A324:I324"/>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E86:I86"/>
    <mergeCell ref="A261:I261"/>
    <mergeCell ref="A279:I279"/>
    <mergeCell ref="A350:I350"/>
    <mergeCell ref="A325:I325"/>
    <mergeCell ref="A300:I300"/>
    <mergeCell ref="A281:I281"/>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A109:I109"/>
    <mergeCell ref="A411:I411"/>
    <mergeCell ref="A240:I240"/>
    <mergeCell ref="A190:I190"/>
    <mergeCell ref="A117:I117"/>
    <mergeCell ref="A353:I353"/>
    <mergeCell ref="A319:I319"/>
    <mergeCell ref="A142:I14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164:I164"/>
    <mergeCell ref="A335:I335"/>
    <mergeCell ref="A195:I195"/>
    <mergeCell ref="A251:I251"/>
    <mergeCell ref="A309:I309"/>
    <mergeCell ref="A188:I188"/>
    <mergeCell ref="A126:I126"/>
    <mergeCell ref="A259:I259"/>
    <mergeCell ref="A424:I424"/>
    <mergeCell ref="A253:I253"/>
    <mergeCell ref="A369:I369"/>
    <mergeCell ref="A418:I418"/>
    <mergeCell ref="A380:I380"/>
    <mergeCell ref="A372:I372"/>
    <mergeCell ref="A382:I382"/>
    <mergeCell ref="A275:I275"/>
    <mergeCell ref="A340:I340"/>
    <mergeCell ref="A146:I146"/>
    <mergeCell ref="A158:I158"/>
    <mergeCell ref="A351:I351"/>
    <mergeCell ref="A301:I301"/>
    <mergeCell ref="A393:I393"/>
    <mergeCell ref="A409:I409"/>
    <mergeCell ref="A175:I17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4"/>
  <sheetViews>
    <sheetView workbookViewId="0"/>
  </sheetViews>
  <sheetFormatPr defaultRowHeight="15" x14ac:dyDescent="0.2"/>
  <cols>
    <col min="1" max="1" width="29.99609375" style="396" customWidth="1"/>
    <col min="2" max="2" width="69.94921875" style="396" customWidth="1"/>
  </cols>
  <sheetData>
    <row r="1" spans="1:2" ht="24.95" customHeight="1" x14ac:dyDescent="0.2">
      <c r="A1" s="456" t="s">
        <v>782</v>
      </c>
      <c r="B1" s="455"/>
    </row>
    <row r="2" spans="1:2" ht="20.100000000000001" customHeight="1" x14ac:dyDescent="0.2">
      <c r="A2" s="454" t="s">
        <v>783</v>
      </c>
      <c r="B2" s="455"/>
    </row>
    <row r="3" spans="1:2" ht="30" customHeight="1" x14ac:dyDescent="0.2">
      <c r="A3" s="220"/>
      <c r="B3" s="220" t="s">
        <v>784</v>
      </c>
    </row>
    <row r="4" spans="1:2" ht="30" customHeight="1" x14ac:dyDescent="0.2">
      <c r="A4" s="220"/>
      <c r="B4" s="220" t="s">
        <v>785</v>
      </c>
    </row>
    <row r="5" spans="1:2" ht="30" customHeight="1" x14ac:dyDescent="0.2">
      <c r="A5" s="220"/>
      <c r="B5" s="220" t="s">
        <v>786</v>
      </c>
    </row>
    <row r="6" spans="1:2" ht="30" customHeight="1" x14ac:dyDescent="0.2">
      <c r="A6" s="220"/>
      <c r="B6" s="220" t="s">
        <v>787</v>
      </c>
    </row>
    <row r="7" spans="1:2" ht="20.100000000000001" customHeight="1" x14ac:dyDescent="0.2">
      <c r="A7" s="454" t="s">
        <v>788</v>
      </c>
      <c r="B7" s="455"/>
    </row>
    <row r="8" spans="1:2" ht="30" customHeight="1" x14ac:dyDescent="0.2">
      <c r="A8" s="220"/>
      <c r="B8" s="220" t="s">
        <v>789</v>
      </c>
    </row>
    <row r="9" spans="1:2" ht="30" customHeight="1" x14ac:dyDescent="0.2">
      <c r="A9" s="220"/>
      <c r="B9" s="220" t="s">
        <v>790</v>
      </c>
    </row>
    <row r="10" spans="1:2" ht="30" customHeight="1" x14ac:dyDescent="0.2">
      <c r="A10" s="220"/>
      <c r="B10" s="220" t="s">
        <v>791</v>
      </c>
    </row>
    <row r="11" spans="1:2" ht="30" customHeight="1" x14ac:dyDescent="0.2">
      <c r="A11" s="220"/>
      <c r="B11" s="220" t="s">
        <v>792</v>
      </c>
    </row>
    <row r="12" spans="1:2" ht="30" customHeight="1" x14ac:dyDescent="0.2">
      <c r="A12" s="220"/>
      <c r="B12" s="220" t="s">
        <v>793</v>
      </c>
    </row>
    <row r="13" spans="1:2" ht="30" customHeight="1" x14ac:dyDescent="0.2">
      <c r="A13" s="220"/>
      <c r="B13" s="220" t="s">
        <v>794</v>
      </c>
    </row>
    <row r="14" spans="1:2" ht="30" customHeight="1" x14ac:dyDescent="0.2">
      <c r="A14" s="220"/>
      <c r="B14" s="220" t="s">
        <v>795</v>
      </c>
    </row>
    <row r="15" spans="1:2" ht="30" customHeight="1" x14ac:dyDescent="0.2">
      <c r="A15" s="220"/>
      <c r="B15" s="220" t="s">
        <v>796</v>
      </c>
    </row>
    <row r="16" spans="1:2" ht="30" customHeight="1" x14ac:dyDescent="0.2">
      <c r="A16" s="220"/>
      <c r="B16" s="220" t="s">
        <v>797</v>
      </c>
    </row>
    <row r="17" spans="1:2" ht="30" customHeight="1" x14ac:dyDescent="0.2">
      <c r="A17" s="220"/>
      <c r="B17" s="220" t="s">
        <v>798</v>
      </c>
    </row>
    <row r="18" spans="1:2" ht="30" customHeight="1" x14ac:dyDescent="0.2">
      <c r="A18" s="220"/>
      <c r="B18" s="220" t="s">
        <v>799</v>
      </c>
    </row>
    <row r="19" spans="1:2" ht="30" customHeight="1" x14ac:dyDescent="0.2">
      <c r="A19" s="220"/>
      <c r="B19" s="220" t="s">
        <v>800</v>
      </c>
    </row>
    <row r="20" spans="1:2" ht="30" customHeight="1" x14ac:dyDescent="0.2">
      <c r="A20" s="220"/>
      <c r="B20" s="220" t="s">
        <v>801</v>
      </c>
    </row>
    <row r="21" spans="1:2" ht="20.100000000000001" customHeight="1" x14ac:dyDescent="0.2">
      <c r="A21" s="454" t="s">
        <v>802</v>
      </c>
      <c r="B21" s="455"/>
    </row>
    <row r="22" spans="1:2" ht="30" customHeight="1" x14ac:dyDescent="0.2">
      <c r="A22" s="220"/>
      <c r="B22" s="220" t="s">
        <v>803</v>
      </c>
    </row>
    <row r="23" spans="1:2" ht="30" customHeight="1" x14ac:dyDescent="0.2">
      <c r="A23" s="220"/>
      <c r="B23" s="220" t="s">
        <v>804</v>
      </c>
    </row>
    <row r="24" spans="1:2" ht="30" customHeight="1" x14ac:dyDescent="0.2">
      <c r="A24" s="220"/>
      <c r="B24" s="220" t="s">
        <v>805</v>
      </c>
    </row>
    <row r="25" spans="1:2" ht="30" customHeight="1" x14ac:dyDescent="0.2">
      <c r="A25" s="220"/>
      <c r="B25" s="220" t="s">
        <v>806</v>
      </c>
    </row>
    <row r="26" spans="1:2" ht="30" customHeight="1" x14ac:dyDescent="0.2">
      <c r="A26" s="220"/>
      <c r="B26" s="220" t="s">
        <v>807</v>
      </c>
    </row>
    <row r="27" spans="1:2" ht="30" customHeight="1" x14ac:dyDescent="0.2">
      <c r="A27" s="220"/>
      <c r="B27" s="220" t="s">
        <v>808</v>
      </c>
    </row>
    <row r="28" spans="1:2" ht="20.100000000000001" customHeight="1" x14ac:dyDescent="0.2">
      <c r="A28" s="454" t="s">
        <v>809</v>
      </c>
      <c r="B28" s="455"/>
    </row>
    <row r="29" spans="1:2" ht="30" customHeight="1" x14ac:dyDescent="0.2">
      <c r="A29" s="220"/>
      <c r="B29" s="220" t="s">
        <v>810</v>
      </c>
    </row>
    <row r="30" spans="1:2" ht="30" customHeight="1" x14ac:dyDescent="0.2">
      <c r="A30" s="220"/>
      <c r="B30" s="220" t="s">
        <v>811</v>
      </c>
    </row>
    <row r="31" spans="1:2" ht="30" customHeight="1" x14ac:dyDescent="0.2">
      <c r="A31" s="220"/>
      <c r="B31" s="220" t="s">
        <v>812</v>
      </c>
    </row>
    <row r="32" spans="1:2" ht="30" customHeight="1" x14ac:dyDescent="0.2">
      <c r="A32" s="220"/>
      <c r="B32" s="220" t="s">
        <v>813</v>
      </c>
    </row>
    <row r="33" spans="1:2" ht="30" customHeight="1" x14ac:dyDescent="0.2">
      <c r="A33" s="220"/>
      <c r="B33" s="220" t="s">
        <v>814</v>
      </c>
    </row>
    <row r="34" spans="1:2" ht="20.100000000000001" customHeight="1" x14ac:dyDescent="0.2">
      <c r="A34" s="454" t="s">
        <v>815</v>
      </c>
      <c r="B34" s="455"/>
    </row>
    <row r="35" spans="1:2" ht="30" customHeight="1" x14ac:dyDescent="0.2">
      <c r="A35" s="220"/>
      <c r="B35" s="220" t="s">
        <v>816</v>
      </c>
    </row>
    <row r="36" spans="1:2" ht="30" customHeight="1" x14ac:dyDescent="0.2">
      <c r="A36" s="220"/>
      <c r="B36" s="220" t="s">
        <v>817</v>
      </c>
    </row>
    <row r="37" spans="1:2" ht="30" customHeight="1" x14ac:dyDescent="0.2">
      <c r="A37" s="220"/>
      <c r="B37" s="220" t="s">
        <v>818</v>
      </c>
    </row>
    <row r="38" spans="1:2" ht="30" customHeight="1" x14ac:dyDescent="0.2">
      <c r="A38" s="220"/>
      <c r="B38" s="220" t="s">
        <v>819</v>
      </c>
    </row>
    <row r="39" spans="1:2" ht="30" customHeight="1" x14ac:dyDescent="0.2">
      <c r="A39" s="220"/>
      <c r="B39" s="220" t="s">
        <v>820</v>
      </c>
    </row>
    <row r="40" spans="1:2" ht="20.100000000000001" customHeight="1" x14ac:dyDescent="0.2">
      <c r="A40" s="454" t="s">
        <v>821</v>
      </c>
      <c r="B40" s="455"/>
    </row>
    <row r="41" spans="1:2" ht="30" customHeight="1" x14ac:dyDescent="0.2">
      <c r="A41" s="220"/>
      <c r="B41" s="220" t="s">
        <v>822</v>
      </c>
    </row>
    <row r="42" spans="1:2" ht="30" customHeight="1" x14ac:dyDescent="0.2">
      <c r="A42" s="220"/>
      <c r="B42" s="220" t="s">
        <v>823</v>
      </c>
    </row>
    <row r="43" spans="1:2" ht="30" customHeight="1" x14ac:dyDescent="0.2">
      <c r="A43" s="220"/>
      <c r="B43" s="220" t="s">
        <v>824</v>
      </c>
    </row>
    <row r="44" spans="1:2" ht="30" customHeight="1" x14ac:dyDescent="0.2">
      <c r="A44" s="220"/>
      <c r="B44" s="220" t="s">
        <v>825</v>
      </c>
    </row>
    <row r="45" spans="1:2" ht="30" customHeight="1" x14ac:dyDescent="0.2">
      <c r="A45" s="220"/>
      <c r="B45" s="220" t="s">
        <v>826</v>
      </c>
    </row>
    <row r="46" spans="1:2" ht="20.100000000000001" customHeight="1" x14ac:dyDescent="0.2">
      <c r="A46" s="454" t="s">
        <v>827</v>
      </c>
      <c r="B46" s="455"/>
    </row>
    <row r="47" spans="1:2" ht="30" customHeight="1" x14ac:dyDescent="0.2">
      <c r="A47" s="220"/>
      <c r="B47" s="220" t="s">
        <v>828</v>
      </c>
    </row>
    <row r="48" spans="1:2" ht="30" customHeight="1" x14ac:dyDescent="0.2">
      <c r="A48" s="220"/>
      <c r="B48" s="220" t="s">
        <v>829</v>
      </c>
    </row>
    <row r="49" spans="1:2" ht="30" customHeight="1" x14ac:dyDescent="0.2">
      <c r="A49" s="220"/>
      <c r="B49" s="220" t="s">
        <v>830</v>
      </c>
    </row>
    <row r="50" spans="1:2" ht="30" customHeight="1" x14ac:dyDescent="0.2">
      <c r="A50" s="220"/>
      <c r="B50" s="220" t="s">
        <v>831</v>
      </c>
    </row>
    <row r="51" spans="1:2" ht="30" customHeight="1" x14ac:dyDescent="0.2">
      <c r="A51" s="220"/>
      <c r="B51" s="220" t="s">
        <v>832</v>
      </c>
    </row>
    <row r="52" spans="1:2" ht="30" customHeight="1" x14ac:dyDescent="0.2">
      <c r="A52" s="220"/>
      <c r="B52" s="220" t="s">
        <v>833</v>
      </c>
    </row>
    <row r="53" spans="1:2" ht="20.100000000000001" customHeight="1" x14ac:dyDescent="0.2">
      <c r="A53" s="454" t="s">
        <v>834</v>
      </c>
      <c r="B53" s="455"/>
    </row>
    <row r="54" spans="1:2" ht="30" customHeight="1" x14ac:dyDescent="0.2">
      <c r="A54" s="220"/>
      <c r="B54" s="220" t="s">
        <v>835</v>
      </c>
    </row>
    <row r="55" spans="1:2" ht="30" customHeight="1" x14ac:dyDescent="0.2">
      <c r="A55" s="220"/>
      <c r="B55" s="220" t="s">
        <v>836</v>
      </c>
    </row>
    <row r="56" spans="1:2" ht="30" customHeight="1" x14ac:dyDescent="0.2">
      <c r="A56" s="220"/>
      <c r="B56" s="220" t="s">
        <v>837</v>
      </c>
    </row>
    <row r="57" spans="1:2" ht="30" customHeight="1" x14ac:dyDescent="0.2">
      <c r="A57" s="220"/>
      <c r="B57" s="220" t="s">
        <v>838</v>
      </c>
    </row>
    <row r="58" spans="1:2" ht="30" customHeight="1" x14ac:dyDescent="0.2">
      <c r="A58" s="220"/>
      <c r="B58" s="220" t="s">
        <v>839</v>
      </c>
    </row>
    <row r="59" spans="1:2" ht="20.100000000000001" customHeight="1" x14ac:dyDescent="0.2">
      <c r="A59" s="454" t="s">
        <v>840</v>
      </c>
      <c r="B59" s="455"/>
    </row>
    <row r="60" spans="1:2" ht="30" customHeight="1" x14ac:dyDescent="0.2">
      <c r="A60" s="220"/>
      <c r="B60" s="220" t="s">
        <v>841</v>
      </c>
    </row>
    <row r="61" spans="1:2" ht="30" customHeight="1" x14ac:dyDescent="0.2">
      <c r="A61" s="220"/>
      <c r="B61" s="220" t="s">
        <v>842</v>
      </c>
    </row>
    <row r="62" spans="1:2" ht="30" customHeight="1" x14ac:dyDescent="0.2">
      <c r="A62" s="220"/>
      <c r="B62" s="220" t="s">
        <v>843</v>
      </c>
    </row>
    <row r="63" spans="1:2" ht="30" customHeight="1" x14ac:dyDescent="0.2">
      <c r="A63" s="220"/>
      <c r="B63" s="220" t="s">
        <v>844</v>
      </c>
    </row>
    <row r="64" spans="1:2" ht="20.100000000000001" customHeight="1" x14ac:dyDescent="0.2">
      <c r="A64" s="454" t="s">
        <v>845</v>
      </c>
      <c r="B64" s="455"/>
    </row>
    <row r="65" spans="1:2" ht="30" customHeight="1" x14ac:dyDescent="0.2">
      <c r="A65" s="220"/>
      <c r="B65" s="220" t="s">
        <v>846</v>
      </c>
    </row>
    <row r="66" spans="1:2" ht="30" customHeight="1" x14ac:dyDescent="0.2">
      <c r="A66" s="220"/>
      <c r="B66" s="220" t="s">
        <v>847</v>
      </c>
    </row>
    <row r="67" spans="1:2" ht="30" customHeight="1" x14ac:dyDescent="0.2">
      <c r="A67" s="220"/>
      <c r="B67" s="220" t="s">
        <v>848</v>
      </c>
    </row>
    <row r="68" spans="1:2" ht="30" customHeight="1" x14ac:dyDescent="0.2">
      <c r="A68" s="220"/>
      <c r="B68" s="220" t="s">
        <v>849</v>
      </c>
    </row>
    <row r="69" spans="1:2" ht="30" customHeight="1" x14ac:dyDescent="0.2">
      <c r="A69" s="220"/>
      <c r="B69" s="220" t="s">
        <v>850</v>
      </c>
    </row>
    <row r="70" spans="1:2" ht="30" customHeight="1" x14ac:dyDescent="0.2">
      <c r="A70" s="220"/>
      <c r="B70" s="220" t="s">
        <v>851</v>
      </c>
    </row>
    <row r="71" spans="1:2" ht="30" customHeight="1" x14ac:dyDescent="0.2">
      <c r="A71" s="220"/>
      <c r="B71" s="220" t="s">
        <v>852</v>
      </c>
    </row>
    <row r="74" spans="1:2" x14ac:dyDescent="0.2">
      <c r="B74" s="257" t="s">
        <v>853</v>
      </c>
    </row>
  </sheetData>
  <mergeCells count="11">
    <mergeCell ref="A1:B1"/>
    <mergeCell ref="A40:B40"/>
    <mergeCell ref="A53:B53"/>
    <mergeCell ref="A34:B34"/>
    <mergeCell ref="A21:B21"/>
    <mergeCell ref="A2:B2"/>
    <mergeCell ref="A64:B64"/>
    <mergeCell ref="A7:B7"/>
    <mergeCell ref="A59:B59"/>
    <mergeCell ref="A28:B28"/>
    <mergeCell ref="A46:B4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396" customWidth="1"/>
    <col min="2" max="2" width="9.953125" style="396" customWidth="1"/>
    <col min="3" max="3" width="32.015625" style="396" customWidth="1"/>
    <col min="4" max="4" width="9.953125" style="396" customWidth="1"/>
    <col min="5" max="5" width="22.05859375" style="396" customWidth="1"/>
    <col min="6" max="6" width="25.9609375" style="396" customWidth="1"/>
    <col min="7" max="7" width="11.97265625" style="396" customWidth="1"/>
    <col min="8" max="8" width="13.98828125" style="396" customWidth="1"/>
    <col min="9" max="9" width="37.93359375" style="396" customWidth="1"/>
    <col min="10" max="10" width="13.98828125" style="396" customWidth="1"/>
    <col min="11" max="13" width="7.93359375" style="396" customWidth="1"/>
    <col min="14" max="15" width="9.953125" style="396" customWidth="1"/>
    <col min="16" max="17" width="7.93359375" style="396" customWidth="1"/>
    <col min="18" max="19" width="9.01171875" style="396" customWidth="1"/>
    <col min="20" max="20" width="7.93359375" style="396" customWidth="1"/>
    <col min="21" max="21" width="9.953125" style="396" customWidth="1"/>
    <col min="22" max="24" width="11.97265625" style="396" customWidth="1"/>
    <col min="25" max="25" width="55.01953125" style="396" customWidth="1"/>
  </cols>
  <sheetData>
    <row r="1" spans="1:25" ht="30" customHeight="1" x14ac:dyDescent="0.2">
      <c r="A1" s="1" t="s">
        <v>854</v>
      </c>
      <c r="B1" s="1" t="s">
        <v>252</v>
      </c>
      <c r="C1" s="1" t="s">
        <v>855</v>
      </c>
      <c r="D1" s="1" t="s">
        <v>856</v>
      </c>
      <c r="E1" s="1" t="s">
        <v>857</v>
      </c>
      <c r="F1" s="1" t="s">
        <v>858</v>
      </c>
      <c r="G1" s="1" t="s">
        <v>859</v>
      </c>
      <c r="H1" s="1" t="s">
        <v>860</v>
      </c>
      <c r="I1" s="1" t="s">
        <v>861</v>
      </c>
      <c r="J1" s="1" t="s">
        <v>862</v>
      </c>
      <c r="K1" s="1" t="s">
        <v>863</v>
      </c>
      <c r="L1" s="1" t="s">
        <v>864</v>
      </c>
      <c r="M1" s="1" t="s">
        <v>865</v>
      </c>
      <c r="N1" s="1" t="s">
        <v>866</v>
      </c>
      <c r="O1" s="1" t="s">
        <v>867</v>
      </c>
      <c r="P1" s="1" t="s">
        <v>868</v>
      </c>
      <c r="Q1" s="1" t="s">
        <v>869</v>
      </c>
      <c r="R1" s="1" t="s">
        <v>870</v>
      </c>
      <c r="S1" s="1" t="s">
        <v>871</v>
      </c>
      <c r="T1" s="1" t="s">
        <v>872</v>
      </c>
      <c r="U1" s="1" t="s">
        <v>873</v>
      </c>
      <c r="V1" s="1" t="s">
        <v>874</v>
      </c>
      <c r="W1" s="1" t="s">
        <v>875</v>
      </c>
      <c r="X1" s="1" t="s">
        <v>876</v>
      </c>
      <c r="Y1" s="1" t="s">
        <v>877</v>
      </c>
    </row>
    <row r="2" spans="1:25" ht="23.25" customHeight="1" x14ac:dyDescent="0.2">
      <c r="A2" s="2">
        <v>1</v>
      </c>
      <c r="B2" s="2" t="s">
        <v>878</v>
      </c>
      <c r="C2" s="3" t="s">
        <v>879</v>
      </c>
      <c r="D2" s="2" t="s">
        <v>880</v>
      </c>
      <c r="E2" s="2" t="s">
        <v>881</v>
      </c>
      <c r="F2" s="2" t="s">
        <v>882</v>
      </c>
      <c r="G2" s="2" t="s">
        <v>883</v>
      </c>
      <c r="H2" s="2" t="s">
        <v>884</v>
      </c>
      <c r="I2" s="4" t="s">
        <v>885</v>
      </c>
      <c r="J2" s="2" t="s">
        <v>886</v>
      </c>
      <c r="K2" s="5">
        <v>9.5</v>
      </c>
      <c r="L2" s="5">
        <v>9.9</v>
      </c>
      <c r="M2" s="6">
        <f>K2*L2</f>
        <v>94.05</v>
      </c>
      <c r="N2" s="5">
        <v>1.5</v>
      </c>
      <c r="O2" s="5">
        <v>1</v>
      </c>
      <c r="P2" s="6">
        <f>N2+O2</f>
        <v>2.5</v>
      </c>
      <c r="Q2" s="6">
        <f>N2*O2</f>
        <v>1.5</v>
      </c>
      <c r="R2" s="6">
        <f>M2/P2</f>
        <v>37.619999999999997</v>
      </c>
      <c r="S2" s="6">
        <f>M2/Q2</f>
        <v>62.699999999999996</v>
      </c>
      <c r="T2" s="6">
        <f>R2/S2</f>
        <v>0.6</v>
      </c>
      <c r="U2" s="3" t="str">
        <f>IF(T2&lt;2,"GREEN",IF(T2&lt;5,"AMBER","RED"))</f>
        <v>GREEN</v>
      </c>
      <c r="V2" s="2" t="s">
        <v>887</v>
      </c>
      <c r="W2" s="2" t="s">
        <v>887</v>
      </c>
      <c r="X2" s="2" t="s">
        <v>887</v>
      </c>
      <c r="Y2" s="4" t="s">
        <v>888</v>
      </c>
    </row>
    <row r="3" spans="1:25" ht="26.85" customHeight="1" x14ac:dyDescent="0.2">
      <c r="A3" s="2">
        <v>2</v>
      </c>
      <c r="B3" s="2" t="s">
        <v>889</v>
      </c>
      <c r="C3" s="3" t="s">
        <v>890</v>
      </c>
      <c r="D3" s="2" t="s">
        <v>880</v>
      </c>
      <c r="E3" s="2" t="s">
        <v>881</v>
      </c>
      <c r="F3" s="2" t="s">
        <v>882</v>
      </c>
      <c r="G3" s="2" t="s">
        <v>883</v>
      </c>
      <c r="H3" s="2" t="s">
        <v>884</v>
      </c>
      <c r="I3" s="4" t="s">
        <v>891</v>
      </c>
      <c r="J3" s="2" t="s">
        <v>892</v>
      </c>
      <c r="K3" s="5">
        <v>7</v>
      </c>
      <c r="L3" s="5">
        <v>8.5</v>
      </c>
      <c r="M3" s="6">
        <f>K3*L3</f>
        <v>59.5</v>
      </c>
      <c r="N3" s="5">
        <v>3.5</v>
      </c>
      <c r="O3" s="5">
        <v>2.5</v>
      </c>
      <c r="P3" s="6">
        <f>N3+O3</f>
        <v>6</v>
      </c>
      <c r="Q3" s="6">
        <f>N3*O3</f>
        <v>8.75</v>
      </c>
      <c r="R3" s="6">
        <f>M3/P3</f>
        <v>9.9166666666666661</v>
      </c>
      <c r="S3" s="6">
        <f>M3/Q3</f>
        <v>6.8</v>
      </c>
      <c r="T3" s="6">
        <f>R3/S3</f>
        <v>1.4583333333333333</v>
      </c>
      <c r="U3" s="3" t="str">
        <f>IF(T3&lt;2,"GREEN",IF(T3&lt;5,"AMBER","RED"))</f>
        <v>GREEN</v>
      </c>
      <c r="V3" s="2" t="s">
        <v>893</v>
      </c>
      <c r="W3" s="2" t="s">
        <v>894</v>
      </c>
      <c r="X3" s="2" t="s">
        <v>895</v>
      </c>
      <c r="Y3" s="4" t="s">
        <v>896</v>
      </c>
    </row>
    <row r="4" spans="1:25" ht="26.85" customHeight="1" x14ac:dyDescent="0.2">
      <c r="A4" s="7">
        <v>3</v>
      </c>
      <c r="B4" s="7" t="s">
        <v>897</v>
      </c>
      <c r="C4" s="8" t="s">
        <v>898</v>
      </c>
      <c r="D4" s="7" t="s">
        <v>899</v>
      </c>
      <c r="E4" s="7" t="s">
        <v>900</v>
      </c>
      <c r="F4" s="7" t="s">
        <v>901</v>
      </c>
      <c r="G4" s="7" t="s">
        <v>902</v>
      </c>
      <c r="H4" s="7" t="s">
        <v>903</v>
      </c>
      <c r="I4" s="9" t="s">
        <v>904</v>
      </c>
      <c r="J4" s="7" t="s">
        <v>905</v>
      </c>
      <c r="K4" s="10">
        <v>6.5</v>
      </c>
      <c r="L4" s="10">
        <v>9.5</v>
      </c>
      <c r="M4" s="11">
        <f>K4*L4</f>
        <v>61.75</v>
      </c>
      <c r="N4" s="10">
        <v>2.5</v>
      </c>
      <c r="O4" s="10">
        <v>2</v>
      </c>
      <c r="P4" s="11">
        <f>N4+O4</f>
        <v>4.5</v>
      </c>
      <c r="Q4" s="11">
        <f>N4*O4</f>
        <v>5</v>
      </c>
      <c r="R4" s="11">
        <f>M4/P4</f>
        <v>13.722222222222221</v>
      </c>
      <c r="S4" s="11">
        <f>M4/Q4</f>
        <v>12.35</v>
      </c>
      <c r="T4" s="11">
        <f>R4/S4</f>
        <v>1.1111111111111112</v>
      </c>
      <c r="U4" s="8" t="str">
        <f>IF(T4&lt;2,"GREEN",IF(T4&lt;5,"AMBER","RED"))</f>
        <v>GREEN</v>
      </c>
      <c r="V4" s="7" t="s">
        <v>894</v>
      </c>
      <c r="W4" s="7" t="s">
        <v>894</v>
      </c>
      <c r="X4" s="7" t="s">
        <v>894</v>
      </c>
      <c r="Y4" s="9" t="s">
        <v>906</v>
      </c>
    </row>
    <row r="5" spans="1:25" ht="23.25" customHeight="1" x14ac:dyDescent="0.2">
      <c r="A5" s="7">
        <v>4</v>
      </c>
      <c r="B5" s="7" t="s">
        <v>907</v>
      </c>
      <c r="C5" s="8" t="s">
        <v>908</v>
      </c>
      <c r="D5" s="7" t="s">
        <v>909</v>
      </c>
      <c r="E5" s="7" t="s">
        <v>910</v>
      </c>
      <c r="F5" s="7" t="s">
        <v>901</v>
      </c>
      <c r="G5" s="7" t="s">
        <v>902</v>
      </c>
      <c r="H5" s="7" t="s">
        <v>903</v>
      </c>
      <c r="I5" s="9" t="s">
        <v>911</v>
      </c>
      <c r="J5" s="7" t="s">
        <v>912</v>
      </c>
      <c r="K5" s="10">
        <v>7.5</v>
      </c>
      <c r="L5" s="10">
        <v>3</v>
      </c>
      <c r="M5" s="11">
        <f>K5*L5</f>
        <v>22.5</v>
      </c>
      <c r="N5" s="10">
        <v>4.5</v>
      </c>
      <c r="O5" s="10">
        <v>4</v>
      </c>
      <c r="P5" s="11">
        <f>N5+O5</f>
        <v>8.5</v>
      </c>
      <c r="Q5" s="11">
        <f>N5*O5</f>
        <v>18</v>
      </c>
      <c r="R5" s="11">
        <f>M5/P5</f>
        <v>2.6470588235294117</v>
      </c>
      <c r="S5" s="11">
        <f>M5/Q5</f>
        <v>1.25</v>
      </c>
      <c r="T5" s="11">
        <f>R5/S5</f>
        <v>2.1176470588235294</v>
      </c>
      <c r="U5" s="8" t="str">
        <f>IF(T5&lt;2,"GREEN",IF(T5&lt;5,"AMBER","RED"))</f>
        <v>AMBER</v>
      </c>
      <c r="V5" s="7" t="s">
        <v>913</v>
      </c>
      <c r="W5" s="7" t="s">
        <v>895</v>
      </c>
      <c r="X5" s="7" t="s">
        <v>894</v>
      </c>
      <c r="Y5" s="9" t="s">
        <v>914</v>
      </c>
    </row>
    <row r="6" spans="1:25" ht="15" customHeight="1" x14ac:dyDescent="0.2">
      <c r="A6" s="12">
        <v>5</v>
      </c>
      <c r="B6" s="12" t="s">
        <v>915</v>
      </c>
      <c r="C6" s="13" t="s">
        <v>916</v>
      </c>
      <c r="D6" s="12" t="s">
        <v>917</v>
      </c>
      <c r="E6" s="12" t="s">
        <v>918</v>
      </c>
      <c r="F6" s="12" t="s">
        <v>919</v>
      </c>
      <c r="G6" s="12" t="s">
        <v>920</v>
      </c>
      <c r="H6" s="12" t="s">
        <v>921</v>
      </c>
      <c r="I6" s="14" t="s">
        <v>922</v>
      </c>
      <c r="J6" s="12" t="s">
        <v>892</v>
      </c>
      <c r="K6" s="15">
        <v>6.5</v>
      </c>
      <c r="L6" s="15">
        <v>8</v>
      </c>
      <c r="M6" s="16">
        <f>K6*L6</f>
        <v>52</v>
      </c>
      <c r="N6" s="15">
        <v>3.5</v>
      </c>
      <c r="O6" s="15">
        <v>3</v>
      </c>
      <c r="P6" s="16">
        <f>N6+O6</f>
        <v>6.5</v>
      </c>
      <c r="Q6" s="16">
        <f>N6*O6</f>
        <v>10.5</v>
      </c>
      <c r="R6" s="16">
        <f>M6/P6</f>
        <v>8</v>
      </c>
      <c r="S6" s="16">
        <f>M6/Q6</f>
        <v>4.9523809523809526</v>
      </c>
      <c r="T6" s="16">
        <f>R6/S6</f>
        <v>1.6153846153846154</v>
      </c>
      <c r="U6" s="13" t="str">
        <f>IF(T6&lt;2,"GREEN",IF(T6&lt;5,"AMBER","RED"))</f>
        <v>GREEN</v>
      </c>
      <c r="V6" s="12" t="s">
        <v>894</v>
      </c>
      <c r="W6" s="12" t="s">
        <v>894</v>
      </c>
      <c r="X6" s="12" t="s">
        <v>923</v>
      </c>
      <c r="Y6" s="14" t="s">
        <v>924</v>
      </c>
    </row>
    <row r="7" spans="1:25" ht="23.25" customHeight="1" x14ac:dyDescent="0.2">
      <c r="A7" s="12">
        <v>6</v>
      </c>
      <c r="B7" s="12" t="s">
        <v>925</v>
      </c>
      <c r="C7" s="13" t="s">
        <v>926</v>
      </c>
      <c r="D7" s="12" t="s">
        <v>899</v>
      </c>
      <c r="E7" s="12" t="s">
        <v>900</v>
      </c>
      <c r="F7" s="12" t="s">
        <v>927</v>
      </c>
      <c r="G7" s="12" t="s">
        <v>928</v>
      </c>
      <c r="H7" s="12" t="s">
        <v>929</v>
      </c>
      <c r="I7" s="14" t="s">
        <v>930</v>
      </c>
      <c r="J7" s="12" t="s">
        <v>931</v>
      </c>
      <c r="K7" s="15">
        <v>7</v>
      </c>
      <c r="L7" s="15">
        <v>9.5</v>
      </c>
      <c r="M7" s="16">
        <f>K7*L7</f>
        <v>66.5</v>
      </c>
      <c r="N7" s="15">
        <v>5</v>
      </c>
      <c r="O7" s="15">
        <v>4.5</v>
      </c>
      <c r="P7" s="16">
        <f>N7+O7</f>
        <v>9.5</v>
      </c>
      <c r="Q7" s="16">
        <f>N7*O7</f>
        <v>22.5</v>
      </c>
      <c r="R7" s="16">
        <f>M7/P7</f>
        <v>7</v>
      </c>
      <c r="S7" s="16">
        <f>M7/Q7</f>
        <v>2.9555555555555557</v>
      </c>
      <c r="T7" s="16">
        <f>R7/S7</f>
        <v>2.3684210526315788</v>
      </c>
      <c r="U7" s="13" t="str">
        <f>IF(T7&lt;2,"GREEN",IF(T7&lt;5,"AMBER","RED"))</f>
        <v>AMBER</v>
      </c>
      <c r="V7" s="12" t="s">
        <v>913</v>
      </c>
      <c r="W7" s="12" t="s">
        <v>923</v>
      </c>
      <c r="X7" s="12" t="s">
        <v>887</v>
      </c>
      <c r="Y7" s="14" t="s">
        <v>932</v>
      </c>
    </row>
    <row r="8" spans="1:25" ht="23.25" customHeight="1" x14ac:dyDescent="0.2">
      <c r="A8" s="12">
        <v>7</v>
      </c>
      <c r="B8" s="12" t="s">
        <v>933</v>
      </c>
      <c r="C8" s="13" t="s">
        <v>934</v>
      </c>
      <c r="D8" s="12" t="s">
        <v>899</v>
      </c>
      <c r="E8" s="12" t="s">
        <v>900</v>
      </c>
      <c r="F8" s="12" t="s">
        <v>919</v>
      </c>
      <c r="G8" s="12" t="s">
        <v>920</v>
      </c>
      <c r="H8" s="12" t="s">
        <v>921</v>
      </c>
      <c r="I8" s="14" t="s">
        <v>935</v>
      </c>
      <c r="J8" s="12" t="s">
        <v>892</v>
      </c>
      <c r="K8" s="15">
        <v>7.5</v>
      </c>
      <c r="L8" s="15">
        <v>9</v>
      </c>
      <c r="M8" s="16">
        <f>K8*L8</f>
        <v>67.5</v>
      </c>
      <c r="N8" s="15">
        <v>4</v>
      </c>
      <c r="O8" s="15">
        <v>3.5</v>
      </c>
      <c r="P8" s="16">
        <f>N8+O8</f>
        <v>7.5</v>
      </c>
      <c r="Q8" s="16">
        <f>N8*O8</f>
        <v>14</v>
      </c>
      <c r="R8" s="16">
        <f>M8/P8</f>
        <v>9</v>
      </c>
      <c r="S8" s="16">
        <f>M8/Q8</f>
        <v>4.8214285714285712</v>
      </c>
      <c r="T8" s="16">
        <f>R8/S8</f>
        <v>1.8666666666666667</v>
      </c>
      <c r="U8" s="13" t="str">
        <f>IF(T8&lt;2,"GREEN",IF(T8&lt;5,"AMBER","RED"))</f>
        <v>GREEN</v>
      </c>
      <c r="V8" s="12" t="s">
        <v>895</v>
      </c>
      <c r="W8" s="12" t="s">
        <v>887</v>
      </c>
      <c r="X8" s="12" t="s">
        <v>894</v>
      </c>
      <c r="Y8" s="14" t="s">
        <v>936</v>
      </c>
    </row>
    <row r="9" spans="1:25" ht="23.25" customHeight="1" x14ac:dyDescent="0.2">
      <c r="A9" s="12">
        <v>8</v>
      </c>
      <c r="B9" s="12" t="s">
        <v>937</v>
      </c>
      <c r="C9" s="13" t="s">
        <v>938</v>
      </c>
      <c r="D9" s="12" t="s">
        <v>939</v>
      </c>
      <c r="E9" s="12" t="s">
        <v>940</v>
      </c>
      <c r="F9" s="12" t="s">
        <v>941</v>
      </c>
      <c r="G9" s="12" t="s">
        <v>942</v>
      </c>
      <c r="H9" s="12" t="s">
        <v>929</v>
      </c>
      <c r="I9" s="14" t="s">
        <v>943</v>
      </c>
      <c r="J9" s="12" t="s">
        <v>944</v>
      </c>
      <c r="K9" s="15">
        <v>8.5</v>
      </c>
      <c r="L9" s="15">
        <v>5</v>
      </c>
      <c r="M9" s="16">
        <f>K9*L9</f>
        <v>42.5</v>
      </c>
      <c r="N9" s="15">
        <v>4.5</v>
      </c>
      <c r="O9" s="15">
        <v>3.5</v>
      </c>
      <c r="P9" s="16">
        <f>N9+O9</f>
        <v>8</v>
      </c>
      <c r="Q9" s="16">
        <f>N9*O9</f>
        <v>15.75</v>
      </c>
      <c r="R9" s="16">
        <f>M9/P9</f>
        <v>5.3125</v>
      </c>
      <c r="S9" s="16">
        <f>M9/Q9</f>
        <v>2.6984126984126986</v>
      </c>
      <c r="T9" s="16">
        <f>R9/S9</f>
        <v>1.9687499999999998</v>
      </c>
      <c r="U9" s="13" t="str">
        <f>IF(T9&lt;2,"GREEN",IF(T9&lt;5,"AMBER","RED"))</f>
        <v>GREEN</v>
      </c>
      <c r="V9" s="12" t="s">
        <v>895</v>
      </c>
      <c r="W9" s="12" t="s">
        <v>923</v>
      </c>
      <c r="X9" s="12" t="s">
        <v>887</v>
      </c>
      <c r="Y9" s="14" t="s">
        <v>945</v>
      </c>
    </row>
    <row r="10" spans="1:25" ht="15" customHeight="1" x14ac:dyDescent="0.2">
      <c r="A10" s="12">
        <v>9</v>
      </c>
      <c r="B10" s="12" t="s">
        <v>946</v>
      </c>
      <c r="C10" s="13" t="s">
        <v>947</v>
      </c>
      <c r="D10" s="12" t="s">
        <v>909</v>
      </c>
      <c r="E10" s="12" t="s">
        <v>910</v>
      </c>
      <c r="F10" s="12" t="s">
        <v>948</v>
      </c>
      <c r="G10" s="12" t="s">
        <v>942</v>
      </c>
      <c r="H10" s="12" t="s">
        <v>929</v>
      </c>
      <c r="I10" s="14" t="s">
        <v>949</v>
      </c>
      <c r="J10" s="12" t="s">
        <v>912</v>
      </c>
      <c r="K10" s="15">
        <v>8.5</v>
      </c>
      <c r="L10" s="15">
        <v>8.5</v>
      </c>
      <c r="M10" s="16">
        <f>K10*L10</f>
        <v>72.25</v>
      </c>
      <c r="N10" s="15">
        <v>5</v>
      </c>
      <c r="O10" s="15">
        <v>4.5</v>
      </c>
      <c r="P10" s="16">
        <f>N10+O10</f>
        <v>9.5</v>
      </c>
      <c r="Q10" s="16">
        <f>N10*O10</f>
        <v>22.5</v>
      </c>
      <c r="R10" s="16">
        <f>M10/P10</f>
        <v>7.6052631578947372</v>
      </c>
      <c r="S10" s="16">
        <f>M10/Q10</f>
        <v>3.2111111111111112</v>
      </c>
      <c r="T10" s="16">
        <f>R10/S10</f>
        <v>2.3684210526315788</v>
      </c>
      <c r="U10" s="13" t="str">
        <f>IF(T10&lt;2,"GREEN",IF(T10&lt;5,"AMBER","RED"))</f>
        <v>AMBER</v>
      </c>
      <c r="V10" s="12" t="s">
        <v>895</v>
      </c>
      <c r="W10" s="12" t="s">
        <v>895</v>
      </c>
      <c r="X10" s="12" t="s">
        <v>887</v>
      </c>
      <c r="Y10" s="14" t="s">
        <v>950</v>
      </c>
    </row>
    <row r="11" spans="1:25" ht="23.25" customHeight="1" x14ac:dyDescent="0.2">
      <c r="A11" s="12">
        <v>10</v>
      </c>
      <c r="B11" s="12" t="s">
        <v>951</v>
      </c>
      <c r="C11" s="13" t="s">
        <v>952</v>
      </c>
      <c r="D11" s="12" t="s">
        <v>939</v>
      </c>
      <c r="E11" s="12" t="s">
        <v>940</v>
      </c>
      <c r="F11" s="12" t="s">
        <v>919</v>
      </c>
      <c r="G11" s="12" t="s">
        <v>920</v>
      </c>
      <c r="H11" s="12" t="s">
        <v>921</v>
      </c>
      <c r="I11" s="14" t="s">
        <v>953</v>
      </c>
      <c r="J11" s="12" t="s">
        <v>944</v>
      </c>
      <c r="K11" s="15">
        <v>8</v>
      </c>
      <c r="L11" s="15">
        <v>4.5</v>
      </c>
      <c r="M11" s="16">
        <f>K11*L11</f>
        <v>36</v>
      </c>
      <c r="N11" s="15">
        <v>4</v>
      </c>
      <c r="O11" s="15">
        <v>3.5</v>
      </c>
      <c r="P11" s="16">
        <f>N11+O11</f>
        <v>7.5</v>
      </c>
      <c r="Q11" s="16">
        <f>N11*O11</f>
        <v>14</v>
      </c>
      <c r="R11" s="16">
        <f>M11/P11</f>
        <v>4.8</v>
      </c>
      <c r="S11" s="16">
        <f>M11/Q11</f>
        <v>2.5714285714285716</v>
      </c>
      <c r="T11" s="16">
        <f>R11/S11</f>
        <v>1.8666666666666665</v>
      </c>
      <c r="U11" s="13" t="str">
        <f>IF(T11&lt;2,"GREEN",IF(T11&lt;5,"AMBER","RED"))</f>
        <v>GREEN</v>
      </c>
      <c r="V11" s="12" t="s">
        <v>895</v>
      </c>
      <c r="W11" s="12" t="s">
        <v>895</v>
      </c>
      <c r="X11" s="12" t="s">
        <v>887</v>
      </c>
      <c r="Y11" s="14" t="s">
        <v>954</v>
      </c>
    </row>
    <row r="12" spans="1:25" ht="23.25" customHeight="1" x14ac:dyDescent="0.2">
      <c r="A12" s="17">
        <v>11</v>
      </c>
      <c r="B12" s="17" t="s">
        <v>955</v>
      </c>
      <c r="C12" s="18" t="s">
        <v>956</v>
      </c>
      <c r="D12" s="17" t="s">
        <v>909</v>
      </c>
      <c r="E12" s="17" t="s">
        <v>910</v>
      </c>
      <c r="F12" s="17" t="s">
        <v>957</v>
      </c>
      <c r="G12" s="17" t="s">
        <v>928</v>
      </c>
      <c r="H12" s="17" t="s">
        <v>929</v>
      </c>
      <c r="I12" s="19" t="s">
        <v>958</v>
      </c>
      <c r="J12" s="17" t="s">
        <v>931</v>
      </c>
      <c r="K12" s="20">
        <v>8</v>
      </c>
      <c r="L12" s="20">
        <v>4</v>
      </c>
      <c r="M12" s="21">
        <f>K12*L12</f>
        <v>32</v>
      </c>
      <c r="N12" s="20">
        <v>5.5</v>
      </c>
      <c r="O12" s="20">
        <v>4</v>
      </c>
      <c r="P12" s="21">
        <f>N12+O12</f>
        <v>9.5</v>
      </c>
      <c r="Q12" s="21">
        <f>N12*O12</f>
        <v>22</v>
      </c>
      <c r="R12" s="21">
        <f>M12/P12</f>
        <v>3.3684210526315788</v>
      </c>
      <c r="S12" s="21">
        <f>M12/Q12</f>
        <v>1.4545454545454546</v>
      </c>
      <c r="T12" s="21">
        <f>R12/S12</f>
        <v>2.3157894736842102</v>
      </c>
      <c r="U12" s="18" t="str">
        <f>IF(T12&lt;2,"GREEN",IF(T12&lt;5,"AMBER","RED"))</f>
        <v>AMBER</v>
      </c>
      <c r="V12" s="17" t="s">
        <v>913</v>
      </c>
      <c r="W12" s="17" t="s">
        <v>895</v>
      </c>
      <c r="X12" s="17" t="s">
        <v>887</v>
      </c>
      <c r="Y12" s="19" t="s">
        <v>959</v>
      </c>
    </row>
    <row r="13" spans="1:25" ht="23.25" customHeight="1" x14ac:dyDescent="0.2">
      <c r="A13" s="17">
        <v>12</v>
      </c>
      <c r="B13" s="17" t="s">
        <v>960</v>
      </c>
      <c r="C13" s="18" t="s">
        <v>961</v>
      </c>
      <c r="D13" s="17" t="s">
        <v>899</v>
      </c>
      <c r="E13" s="17" t="s">
        <v>900</v>
      </c>
      <c r="F13" s="17" t="s">
        <v>962</v>
      </c>
      <c r="G13" s="17" t="s">
        <v>963</v>
      </c>
      <c r="H13" s="17" t="s">
        <v>903</v>
      </c>
      <c r="I13" s="19" t="s">
        <v>964</v>
      </c>
      <c r="J13" s="17" t="s">
        <v>931</v>
      </c>
      <c r="K13" s="20">
        <v>8.5</v>
      </c>
      <c r="L13" s="20">
        <v>2.5</v>
      </c>
      <c r="M13" s="21">
        <f>K13*L13</f>
        <v>21.25</v>
      </c>
      <c r="N13" s="20">
        <v>3.5</v>
      </c>
      <c r="O13" s="20">
        <v>4.5</v>
      </c>
      <c r="P13" s="21">
        <f>N13+O13</f>
        <v>8</v>
      </c>
      <c r="Q13" s="21">
        <f>N13*O13</f>
        <v>15.75</v>
      </c>
      <c r="R13" s="21">
        <f>M13/P13</f>
        <v>2.65625</v>
      </c>
      <c r="S13" s="21">
        <f>M13/Q13</f>
        <v>1.3492063492063493</v>
      </c>
      <c r="T13" s="21">
        <f>R13/S13</f>
        <v>1.9687499999999998</v>
      </c>
      <c r="U13" s="18" t="str">
        <f>IF(T13&lt;2,"GREEN",IF(T13&lt;5,"AMBER","RED"))</f>
        <v>GREEN</v>
      </c>
      <c r="V13" s="17" t="s">
        <v>895</v>
      </c>
      <c r="W13" s="17" t="s">
        <v>893</v>
      </c>
      <c r="X13" s="17" t="s">
        <v>887</v>
      </c>
      <c r="Y13" s="19" t="s">
        <v>965</v>
      </c>
    </row>
    <row r="14" spans="1:25" ht="23.25" customHeight="1" x14ac:dyDescent="0.2">
      <c r="A14" s="22">
        <v>13</v>
      </c>
      <c r="B14" s="22" t="s">
        <v>966</v>
      </c>
      <c r="C14" s="23" t="s">
        <v>967</v>
      </c>
      <c r="D14" s="22" t="s">
        <v>939</v>
      </c>
      <c r="E14" s="22" t="s">
        <v>940</v>
      </c>
      <c r="F14" s="22" t="s">
        <v>962</v>
      </c>
      <c r="G14" s="22" t="s">
        <v>963</v>
      </c>
      <c r="H14" s="22" t="s">
        <v>903</v>
      </c>
      <c r="I14" s="24" t="s">
        <v>968</v>
      </c>
      <c r="J14" s="22" t="s">
        <v>912</v>
      </c>
      <c r="K14" s="25">
        <v>9</v>
      </c>
      <c r="L14" s="25">
        <v>4</v>
      </c>
      <c r="M14" s="26">
        <f>K14*L14</f>
        <v>36</v>
      </c>
      <c r="N14" s="25">
        <v>5</v>
      </c>
      <c r="O14" s="25">
        <v>5.5</v>
      </c>
      <c r="P14" s="26">
        <f>N14+O14</f>
        <v>10.5</v>
      </c>
      <c r="Q14" s="26">
        <f>N14*O14</f>
        <v>27.5</v>
      </c>
      <c r="R14" s="26">
        <f>M14/P14</f>
        <v>3.4285714285714284</v>
      </c>
      <c r="S14" s="26">
        <f>M14/Q14</f>
        <v>1.3090909090909091</v>
      </c>
      <c r="T14" s="26">
        <f>R14/S14</f>
        <v>2.6190476190476191</v>
      </c>
      <c r="U14" s="23" t="str">
        <f>IF(T14&lt;2,"GREEN",IF(T14&lt;5,"AMBER","RED"))</f>
        <v>AMBER</v>
      </c>
      <c r="V14" s="22" t="s">
        <v>913</v>
      </c>
      <c r="W14" s="22" t="s">
        <v>895</v>
      </c>
      <c r="X14" s="22" t="s">
        <v>887</v>
      </c>
      <c r="Y14" s="24" t="s">
        <v>969</v>
      </c>
    </row>
    <row r="15" spans="1:25" ht="23.25" customHeight="1" x14ac:dyDescent="0.2">
      <c r="A15" s="27">
        <v>14</v>
      </c>
      <c r="B15" s="27" t="s">
        <v>970</v>
      </c>
      <c r="C15" s="28" t="s">
        <v>971</v>
      </c>
      <c r="D15" s="27" t="s">
        <v>939</v>
      </c>
      <c r="E15" s="27" t="s">
        <v>940</v>
      </c>
      <c r="F15" s="27" t="s">
        <v>972</v>
      </c>
      <c r="G15" s="27" t="s">
        <v>973</v>
      </c>
      <c r="H15" s="27" t="s">
        <v>884</v>
      </c>
      <c r="I15" s="29" t="s">
        <v>974</v>
      </c>
      <c r="J15" s="27" t="s">
        <v>975</v>
      </c>
      <c r="K15" s="30">
        <v>8.5</v>
      </c>
      <c r="L15" s="30">
        <v>5.5</v>
      </c>
      <c r="M15" s="31">
        <f>K15*L15</f>
        <v>46.75</v>
      </c>
      <c r="N15" s="30">
        <v>5.5</v>
      </c>
      <c r="O15" s="30">
        <v>5</v>
      </c>
      <c r="P15" s="31">
        <f>N15+O15</f>
        <v>10.5</v>
      </c>
      <c r="Q15" s="31">
        <f>N15*O15</f>
        <v>27.5</v>
      </c>
      <c r="R15" s="31">
        <f>M15/P15</f>
        <v>4.4523809523809526</v>
      </c>
      <c r="S15" s="31">
        <f>M15/Q15</f>
        <v>1.7</v>
      </c>
      <c r="T15" s="31">
        <f>R15/S15</f>
        <v>2.6190476190476191</v>
      </c>
      <c r="U15" s="28" t="str">
        <f>IF(T15&lt;2,"GREEN",IF(T15&lt;5,"AMBER","RED"))</f>
        <v>AMBER</v>
      </c>
      <c r="V15" s="27" t="s">
        <v>913</v>
      </c>
      <c r="W15" s="27" t="s">
        <v>895</v>
      </c>
      <c r="X15" s="27" t="s">
        <v>894</v>
      </c>
      <c r="Y15" s="29" t="s">
        <v>976</v>
      </c>
    </row>
    <row r="16" spans="1:25" ht="23.25" customHeight="1" x14ac:dyDescent="0.2">
      <c r="A16" s="27">
        <v>15</v>
      </c>
      <c r="B16" s="27" t="s">
        <v>977</v>
      </c>
      <c r="C16" s="28" t="s">
        <v>978</v>
      </c>
      <c r="D16" s="27" t="s">
        <v>939</v>
      </c>
      <c r="E16" s="27" t="s">
        <v>940</v>
      </c>
      <c r="F16" s="27" t="s">
        <v>972</v>
      </c>
      <c r="G16" s="27" t="s">
        <v>973</v>
      </c>
      <c r="H16" s="27" t="s">
        <v>884</v>
      </c>
      <c r="I16" s="29" t="s">
        <v>979</v>
      </c>
      <c r="J16" s="27" t="s">
        <v>980</v>
      </c>
      <c r="K16" s="30">
        <v>8</v>
      </c>
      <c r="L16" s="30">
        <v>7</v>
      </c>
      <c r="M16" s="31">
        <f>K16*L16</f>
        <v>56</v>
      </c>
      <c r="N16" s="30">
        <v>3.5</v>
      </c>
      <c r="O16" s="30">
        <v>3</v>
      </c>
      <c r="P16" s="31">
        <f>N16+O16</f>
        <v>6.5</v>
      </c>
      <c r="Q16" s="31">
        <f>N16*O16</f>
        <v>10.5</v>
      </c>
      <c r="R16" s="31">
        <f>M16/P16</f>
        <v>8.615384615384615</v>
      </c>
      <c r="S16" s="31">
        <f>M16/Q16</f>
        <v>5.333333333333333</v>
      </c>
      <c r="T16" s="31">
        <f>R16/S16</f>
        <v>1.6153846153846154</v>
      </c>
      <c r="U16" s="28" t="str">
        <f>IF(T16&lt;2,"GREEN",IF(T16&lt;5,"AMBER","RED"))</f>
        <v>GREEN</v>
      </c>
      <c r="V16" s="27" t="s">
        <v>895</v>
      </c>
      <c r="W16" s="27" t="s">
        <v>894</v>
      </c>
      <c r="X16" s="27" t="s">
        <v>887</v>
      </c>
      <c r="Y16" s="29" t="s">
        <v>981</v>
      </c>
    </row>
    <row r="17" spans="1:25" ht="23.25" customHeight="1" x14ac:dyDescent="0.2">
      <c r="A17" s="27">
        <v>16</v>
      </c>
      <c r="B17" s="27" t="s">
        <v>982</v>
      </c>
      <c r="C17" s="28" t="s">
        <v>983</v>
      </c>
      <c r="D17" s="27" t="s">
        <v>939</v>
      </c>
      <c r="E17" s="27" t="s">
        <v>940</v>
      </c>
      <c r="F17" s="27" t="s">
        <v>984</v>
      </c>
      <c r="G17" s="27" t="s">
        <v>985</v>
      </c>
      <c r="H17" s="27" t="s">
        <v>884</v>
      </c>
      <c r="I17" s="29" t="s">
        <v>986</v>
      </c>
      <c r="J17" s="27" t="s">
        <v>944</v>
      </c>
      <c r="K17" s="30">
        <v>7.5</v>
      </c>
      <c r="L17" s="30">
        <v>6.5</v>
      </c>
      <c r="M17" s="31">
        <f>K17*L17</f>
        <v>48.75</v>
      </c>
      <c r="N17" s="30">
        <v>4</v>
      </c>
      <c r="O17" s="30">
        <v>3.5</v>
      </c>
      <c r="P17" s="31">
        <f>N17+O17</f>
        <v>7.5</v>
      </c>
      <c r="Q17" s="31">
        <f>N17*O17</f>
        <v>14</v>
      </c>
      <c r="R17" s="31">
        <f>M17/P17</f>
        <v>6.5</v>
      </c>
      <c r="S17" s="31">
        <f>M17/Q17</f>
        <v>3.4821428571428572</v>
      </c>
      <c r="T17" s="31">
        <f>R17/S17</f>
        <v>1.8666666666666667</v>
      </c>
      <c r="U17" s="28" t="str">
        <f>IF(T17&lt;2,"GREEN",IF(T17&lt;5,"AMBER","RED"))</f>
        <v>GREEN</v>
      </c>
      <c r="V17" s="27" t="s">
        <v>895</v>
      </c>
      <c r="W17" s="27" t="s">
        <v>894</v>
      </c>
      <c r="X17" s="27" t="s">
        <v>887</v>
      </c>
      <c r="Y17" s="29" t="s">
        <v>987</v>
      </c>
    </row>
    <row r="18" spans="1:25" ht="26.85" customHeight="1" x14ac:dyDescent="0.2">
      <c r="A18" s="32">
        <v>17</v>
      </c>
      <c r="B18" s="32" t="s">
        <v>988</v>
      </c>
      <c r="C18" s="33" t="s">
        <v>989</v>
      </c>
      <c r="D18" s="32" t="s">
        <v>939</v>
      </c>
      <c r="E18" s="32" t="s">
        <v>940</v>
      </c>
      <c r="F18" s="32" t="s">
        <v>990</v>
      </c>
      <c r="G18" s="32" t="s">
        <v>991</v>
      </c>
      <c r="H18" s="32" t="s">
        <v>921</v>
      </c>
      <c r="I18" s="34" t="s">
        <v>992</v>
      </c>
      <c r="J18" s="32" t="s">
        <v>944</v>
      </c>
      <c r="K18" s="35">
        <v>7</v>
      </c>
      <c r="L18" s="35">
        <v>7.5</v>
      </c>
      <c r="M18" s="36">
        <f>K18*L18</f>
        <v>52.5</v>
      </c>
      <c r="N18" s="35">
        <v>4.5</v>
      </c>
      <c r="O18" s="35">
        <v>3.5</v>
      </c>
      <c r="P18" s="36">
        <f>N18+O18</f>
        <v>8</v>
      </c>
      <c r="Q18" s="36">
        <f>N18*O18</f>
        <v>15.75</v>
      </c>
      <c r="R18" s="36">
        <f>M18/P18</f>
        <v>6.5625</v>
      </c>
      <c r="S18" s="36">
        <f>M18/Q18</f>
        <v>3.3333333333333335</v>
      </c>
      <c r="T18" s="36">
        <f>R18/S18</f>
        <v>1.96875</v>
      </c>
      <c r="U18" s="33" t="str">
        <f>IF(T18&lt;2,"GREEN",IF(T18&lt;5,"AMBER","RED"))</f>
        <v>GREEN</v>
      </c>
      <c r="V18" s="32" t="s">
        <v>893</v>
      </c>
      <c r="W18" s="32" t="s">
        <v>894</v>
      </c>
      <c r="X18" s="32" t="s">
        <v>894</v>
      </c>
      <c r="Y18" s="34" t="s">
        <v>993</v>
      </c>
    </row>
    <row r="19" spans="1:25" ht="26.85" customHeight="1" x14ac:dyDescent="0.2">
      <c r="A19" s="32">
        <v>18</v>
      </c>
      <c r="B19" s="32" t="s">
        <v>994</v>
      </c>
      <c r="C19" s="33" t="s">
        <v>995</v>
      </c>
      <c r="D19" s="32" t="s">
        <v>939</v>
      </c>
      <c r="E19" s="32" t="s">
        <v>940</v>
      </c>
      <c r="F19" s="32" t="s">
        <v>996</v>
      </c>
      <c r="G19" s="32" t="s">
        <v>997</v>
      </c>
      <c r="H19" s="32" t="s">
        <v>903</v>
      </c>
      <c r="I19" s="34" t="s">
        <v>998</v>
      </c>
      <c r="J19" s="32" t="s">
        <v>975</v>
      </c>
      <c r="K19" s="35">
        <v>8.5</v>
      </c>
      <c r="L19" s="35">
        <v>7.5</v>
      </c>
      <c r="M19" s="36">
        <f>K19*L19</f>
        <v>63.75</v>
      </c>
      <c r="N19" s="35">
        <v>5</v>
      </c>
      <c r="O19" s="35">
        <v>4</v>
      </c>
      <c r="P19" s="36">
        <f>N19+O19</f>
        <v>9</v>
      </c>
      <c r="Q19" s="36">
        <f>N19*O19</f>
        <v>20</v>
      </c>
      <c r="R19" s="36">
        <f>M19/P19</f>
        <v>7.083333333333333</v>
      </c>
      <c r="S19" s="36">
        <f>M19/Q19</f>
        <v>3.1875</v>
      </c>
      <c r="T19" s="36">
        <f>R19/S19</f>
        <v>2.2222222222222223</v>
      </c>
      <c r="U19" s="33" t="str">
        <f>IF(T19&lt;2,"GREEN",IF(T19&lt;5,"AMBER","RED"))</f>
        <v>AMBER</v>
      </c>
      <c r="V19" s="32" t="s">
        <v>895</v>
      </c>
      <c r="W19" s="32" t="s">
        <v>894</v>
      </c>
      <c r="X19" s="32" t="s">
        <v>887</v>
      </c>
      <c r="Y19" s="34" t="s">
        <v>999</v>
      </c>
    </row>
    <row r="20" spans="1:25" ht="15" customHeight="1" x14ac:dyDescent="0.2">
      <c r="A20" s="32">
        <v>19</v>
      </c>
      <c r="B20" s="32" t="s">
        <v>1000</v>
      </c>
      <c r="C20" s="33" t="s">
        <v>1001</v>
      </c>
      <c r="D20" s="32" t="s">
        <v>917</v>
      </c>
      <c r="E20" s="32" t="s">
        <v>918</v>
      </c>
      <c r="F20" s="32" t="s">
        <v>1002</v>
      </c>
      <c r="G20" s="32" t="s">
        <v>1003</v>
      </c>
      <c r="H20" s="32" t="s">
        <v>929</v>
      </c>
      <c r="I20" s="34" t="s">
        <v>1004</v>
      </c>
      <c r="J20" s="32" t="s">
        <v>1005</v>
      </c>
      <c r="K20" s="35">
        <v>6.5</v>
      </c>
      <c r="L20" s="35">
        <v>7</v>
      </c>
      <c r="M20" s="36">
        <f>K20*L20</f>
        <v>45.5</v>
      </c>
      <c r="N20" s="35">
        <v>4</v>
      </c>
      <c r="O20" s="35">
        <v>3.5</v>
      </c>
      <c r="P20" s="36">
        <f>N20+O20</f>
        <v>7.5</v>
      </c>
      <c r="Q20" s="36">
        <f>N20*O20</f>
        <v>14</v>
      </c>
      <c r="R20" s="36">
        <f>M20/P20</f>
        <v>6.0666666666666664</v>
      </c>
      <c r="S20" s="36">
        <f>M20/Q20</f>
        <v>3.25</v>
      </c>
      <c r="T20" s="36">
        <f>R20/S20</f>
        <v>1.8666666666666667</v>
      </c>
      <c r="U20" s="33" t="str">
        <f>IF(T20&lt;2,"GREEN",IF(T20&lt;5,"AMBER","RED"))</f>
        <v>GREEN</v>
      </c>
      <c r="V20" s="32" t="s">
        <v>923</v>
      </c>
      <c r="W20" s="32" t="s">
        <v>895</v>
      </c>
      <c r="X20" s="32" t="s">
        <v>894</v>
      </c>
      <c r="Y20" s="34" t="s">
        <v>1006</v>
      </c>
    </row>
    <row r="21" spans="1:25" ht="23.25" customHeight="1" x14ac:dyDescent="0.2">
      <c r="A21" s="32">
        <v>20</v>
      </c>
      <c r="B21" s="32" t="s">
        <v>1007</v>
      </c>
      <c r="C21" s="33" t="s">
        <v>1008</v>
      </c>
      <c r="D21" s="32" t="s">
        <v>939</v>
      </c>
      <c r="E21" s="32" t="s">
        <v>940</v>
      </c>
      <c r="F21" s="32" t="s">
        <v>1009</v>
      </c>
      <c r="G21" s="32" t="s">
        <v>942</v>
      </c>
      <c r="H21" s="32" t="s">
        <v>929</v>
      </c>
      <c r="I21" s="34" t="s">
        <v>1010</v>
      </c>
      <c r="J21" s="32" t="s">
        <v>944</v>
      </c>
      <c r="K21" s="35">
        <v>8</v>
      </c>
      <c r="L21" s="35">
        <v>7</v>
      </c>
      <c r="M21" s="36">
        <f>K21*L21</f>
        <v>56</v>
      </c>
      <c r="N21" s="35">
        <v>4.5</v>
      </c>
      <c r="O21" s="35">
        <v>3.5</v>
      </c>
      <c r="P21" s="36">
        <f>N21+O21</f>
        <v>8</v>
      </c>
      <c r="Q21" s="36">
        <f>N21*O21</f>
        <v>15.75</v>
      </c>
      <c r="R21" s="36">
        <f>M21/P21</f>
        <v>7</v>
      </c>
      <c r="S21" s="36">
        <f>M21/Q21</f>
        <v>3.5555555555555554</v>
      </c>
      <c r="T21" s="36">
        <f>R21/S21</f>
        <v>1.96875</v>
      </c>
      <c r="U21" s="33" t="str">
        <f>IF(T21&lt;2,"GREEN",IF(T21&lt;5,"AMBER","RED"))</f>
        <v>GREEN</v>
      </c>
      <c r="V21" s="32" t="s">
        <v>895</v>
      </c>
      <c r="W21" s="32" t="s">
        <v>894</v>
      </c>
      <c r="X21" s="32" t="s">
        <v>894</v>
      </c>
      <c r="Y21" s="34" t="s">
        <v>1011</v>
      </c>
    </row>
    <row r="22" spans="1:25" ht="23.25" customHeight="1" x14ac:dyDescent="0.2">
      <c r="A22" s="32">
        <v>21</v>
      </c>
      <c r="B22" s="32" t="s">
        <v>1012</v>
      </c>
      <c r="C22" s="33" t="s">
        <v>1013</v>
      </c>
      <c r="D22" s="32" t="s">
        <v>1014</v>
      </c>
      <c r="E22" s="32" t="s">
        <v>1015</v>
      </c>
      <c r="F22" s="32" t="s">
        <v>1016</v>
      </c>
      <c r="G22" s="32" t="s">
        <v>1017</v>
      </c>
      <c r="H22" s="32" t="s">
        <v>884</v>
      </c>
      <c r="I22" s="34" t="s">
        <v>1018</v>
      </c>
      <c r="J22" s="32" t="s">
        <v>1019</v>
      </c>
      <c r="K22" s="35">
        <v>9</v>
      </c>
      <c r="L22" s="35">
        <v>3.5</v>
      </c>
      <c r="M22" s="36">
        <f>K22*L22</f>
        <v>31.5</v>
      </c>
      <c r="N22" s="35">
        <v>5.5</v>
      </c>
      <c r="O22" s="35">
        <v>4</v>
      </c>
      <c r="P22" s="36">
        <f>N22+O22</f>
        <v>9.5</v>
      </c>
      <c r="Q22" s="36">
        <f>N22*O22</f>
        <v>22</v>
      </c>
      <c r="R22" s="36">
        <f>M22/P22</f>
        <v>3.3157894736842106</v>
      </c>
      <c r="S22" s="36">
        <f>M22/Q22</f>
        <v>1.4318181818181819</v>
      </c>
      <c r="T22" s="36">
        <f>R22/S22</f>
        <v>2.3157894736842106</v>
      </c>
      <c r="U22" s="33" t="str">
        <f>IF(T22&lt;2,"GREEN",IF(T22&lt;5,"AMBER","RED"))</f>
        <v>AMBER</v>
      </c>
      <c r="V22" s="32" t="s">
        <v>913</v>
      </c>
      <c r="W22" s="32" t="s">
        <v>895</v>
      </c>
      <c r="X22" s="32" t="s">
        <v>887</v>
      </c>
      <c r="Y22" s="34" t="s">
        <v>1020</v>
      </c>
    </row>
    <row r="23" spans="1:25" ht="15" customHeight="1" x14ac:dyDescent="0.2">
      <c r="A23" s="32">
        <v>22</v>
      </c>
      <c r="B23" s="32" t="s">
        <v>1021</v>
      </c>
      <c r="C23" s="33" t="s">
        <v>1022</v>
      </c>
      <c r="D23" s="32" t="s">
        <v>1014</v>
      </c>
      <c r="E23" s="32" t="s">
        <v>1015</v>
      </c>
      <c r="F23" s="32" t="s">
        <v>1016</v>
      </c>
      <c r="G23" s="32" t="s">
        <v>1017</v>
      </c>
      <c r="H23" s="32" t="s">
        <v>921</v>
      </c>
      <c r="I23" s="34" t="s">
        <v>1023</v>
      </c>
      <c r="J23" s="32" t="s">
        <v>905</v>
      </c>
      <c r="K23" s="35">
        <v>5</v>
      </c>
      <c r="L23" s="35">
        <v>6.5</v>
      </c>
      <c r="M23" s="36">
        <f>K23*L23</f>
        <v>32.5</v>
      </c>
      <c r="N23" s="35">
        <v>3</v>
      </c>
      <c r="O23" s="35">
        <v>2.5</v>
      </c>
      <c r="P23" s="36">
        <f>N23+O23</f>
        <v>5.5</v>
      </c>
      <c r="Q23" s="36">
        <f>N23*O23</f>
        <v>7.5</v>
      </c>
      <c r="R23" s="36">
        <f>M23/P23</f>
        <v>5.9090909090909092</v>
      </c>
      <c r="S23" s="36">
        <f>M23/Q23</f>
        <v>4.333333333333333</v>
      </c>
      <c r="T23" s="36">
        <f>R23/S23</f>
        <v>1.3636363636363638</v>
      </c>
      <c r="U23" s="33" t="str">
        <f>IF(T23&lt;2,"GREEN",IF(T23&lt;5,"AMBER","RED"))</f>
        <v>GREEN</v>
      </c>
      <c r="V23" s="32" t="s">
        <v>894</v>
      </c>
      <c r="W23" s="32" t="s">
        <v>895</v>
      </c>
      <c r="X23" s="32" t="s">
        <v>894</v>
      </c>
      <c r="Y23" s="34" t="s">
        <v>1024</v>
      </c>
    </row>
    <row r="24" spans="1:25" ht="26.85" customHeight="1" x14ac:dyDescent="0.2">
      <c r="A24" s="32">
        <v>23</v>
      </c>
      <c r="B24" s="32" t="s">
        <v>1025</v>
      </c>
      <c r="C24" s="33" t="s">
        <v>1026</v>
      </c>
      <c r="D24" s="32" t="s">
        <v>1027</v>
      </c>
      <c r="E24" s="32" t="s">
        <v>1028</v>
      </c>
      <c r="F24" s="32" t="s">
        <v>1002</v>
      </c>
      <c r="G24" s="32" t="s">
        <v>997</v>
      </c>
      <c r="H24" s="32" t="s">
        <v>903</v>
      </c>
      <c r="I24" s="34" t="s">
        <v>1029</v>
      </c>
      <c r="J24" s="32" t="s">
        <v>1005</v>
      </c>
      <c r="K24" s="35">
        <v>7.5</v>
      </c>
      <c r="L24" s="35">
        <v>6</v>
      </c>
      <c r="M24" s="36">
        <f>K24*L24</f>
        <v>45</v>
      </c>
      <c r="N24" s="35">
        <v>3</v>
      </c>
      <c r="O24" s="35">
        <v>2.5</v>
      </c>
      <c r="P24" s="36">
        <f>N24+O24</f>
        <v>5.5</v>
      </c>
      <c r="Q24" s="36">
        <f>N24*O24</f>
        <v>7.5</v>
      </c>
      <c r="R24" s="36">
        <f>M24/P24</f>
        <v>8.1818181818181817</v>
      </c>
      <c r="S24" s="36">
        <f>M24/Q24</f>
        <v>6</v>
      </c>
      <c r="T24" s="36">
        <f>R24/S24</f>
        <v>1.3636363636363635</v>
      </c>
      <c r="U24" s="33" t="str">
        <f>IF(T24&lt;2,"GREEN",IF(T24&lt;5,"AMBER","RED"))</f>
        <v>GREEN</v>
      </c>
      <c r="V24" s="32" t="s">
        <v>894</v>
      </c>
      <c r="W24" s="32" t="s">
        <v>894</v>
      </c>
      <c r="X24" s="32" t="s">
        <v>894</v>
      </c>
      <c r="Y24" s="34" t="s">
        <v>1030</v>
      </c>
    </row>
    <row r="25" spans="1:25" ht="23.25" customHeight="1" x14ac:dyDescent="0.2">
      <c r="A25" s="32">
        <v>24</v>
      </c>
      <c r="B25" s="32" t="s">
        <v>1025</v>
      </c>
      <c r="C25" s="33" t="s">
        <v>1031</v>
      </c>
      <c r="D25" s="32" t="s">
        <v>917</v>
      </c>
      <c r="E25" s="32" t="s">
        <v>918</v>
      </c>
      <c r="F25" s="32" t="s">
        <v>990</v>
      </c>
      <c r="G25" s="32" t="s">
        <v>991</v>
      </c>
      <c r="H25" s="32" t="s">
        <v>921</v>
      </c>
      <c r="I25" s="34" t="s">
        <v>1032</v>
      </c>
      <c r="J25" s="32" t="s">
        <v>975</v>
      </c>
      <c r="K25" s="35">
        <v>8</v>
      </c>
      <c r="L25" s="35">
        <v>5.5</v>
      </c>
      <c r="M25" s="36">
        <f>K25*L25</f>
        <v>44</v>
      </c>
      <c r="N25" s="35">
        <v>4.5</v>
      </c>
      <c r="O25" s="35">
        <v>3.5</v>
      </c>
      <c r="P25" s="36">
        <f>N25+O25</f>
        <v>8</v>
      </c>
      <c r="Q25" s="36">
        <f>N25*O25</f>
        <v>15.75</v>
      </c>
      <c r="R25" s="36">
        <f>M25/P25</f>
        <v>5.5</v>
      </c>
      <c r="S25" s="36">
        <f>M25/Q25</f>
        <v>2.7936507936507935</v>
      </c>
      <c r="T25" s="36">
        <f>R25/S25</f>
        <v>1.96875</v>
      </c>
      <c r="U25" s="33" t="str">
        <f>IF(T25&lt;2,"GREEN",IF(T25&lt;5,"AMBER","RED"))</f>
        <v>GREEN</v>
      </c>
      <c r="V25" s="32" t="s">
        <v>893</v>
      </c>
      <c r="W25" s="32" t="s">
        <v>894</v>
      </c>
      <c r="X25" s="32" t="s">
        <v>923</v>
      </c>
      <c r="Y25" s="34" t="s">
        <v>1033</v>
      </c>
    </row>
    <row r="26" spans="1:25" ht="23.25" customHeight="1" x14ac:dyDescent="0.2">
      <c r="A26" s="32">
        <v>25</v>
      </c>
      <c r="B26" s="32" t="s">
        <v>1034</v>
      </c>
      <c r="C26" s="33" t="s">
        <v>1035</v>
      </c>
      <c r="D26" s="32" t="s">
        <v>899</v>
      </c>
      <c r="E26" s="32" t="s">
        <v>900</v>
      </c>
      <c r="F26" s="32" t="s">
        <v>1036</v>
      </c>
      <c r="G26" s="32" t="s">
        <v>991</v>
      </c>
      <c r="H26" s="32" t="s">
        <v>929</v>
      </c>
      <c r="I26" s="34" t="s">
        <v>1037</v>
      </c>
      <c r="J26" s="32" t="s">
        <v>931</v>
      </c>
      <c r="K26" s="35">
        <v>9</v>
      </c>
      <c r="L26" s="35">
        <v>5</v>
      </c>
      <c r="M26" s="36">
        <f>K26*L26</f>
        <v>45</v>
      </c>
      <c r="N26" s="35">
        <v>4</v>
      </c>
      <c r="O26" s="35">
        <v>3.5</v>
      </c>
      <c r="P26" s="36">
        <f>N26+O26</f>
        <v>7.5</v>
      </c>
      <c r="Q26" s="36">
        <f>N26*O26</f>
        <v>14</v>
      </c>
      <c r="R26" s="36">
        <f>M26/P26</f>
        <v>6</v>
      </c>
      <c r="S26" s="36">
        <f>M26/Q26</f>
        <v>3.2142857142857144</v>
      </c>
      <c r="T26" s="36">
        <f>R26/S26</f>
        <v>1.8666666666666667</v>
      </c>
      <c r="U26" s="33" t="str">
        <f>IF(T26&lt;2,"GREEN",IF(T26&lt;5,"AMBER","RED"))</f>
        <v>GREEN</v>
      </c>
      <c r="V26" s="32" t="s">
        <v>895</v>
      </c>
      <c r="W26" s="32" t="s">
        <v>894</v>
      </c>
      <c r="X26" s="32" t="s">
        <v>887</v>
      </c>
      <c r="Y26" s="34" t="s">
        <v>1038</v>
      </c>
    </row>
    <row r="27" spans="1:25" ht="15" customHeight="1" x14ac:dyDescent="0.2">
      <c r="A27" s="32">
        <v>26</v>
      </c>
      <c r="B27" s="32" t="s">
        <v>1039</v>
      </c>
      <c r="C27" s="33" t="s">
        <v>1040</v>
      </c>
      <c r="D27" s="32" t="s">
        <v>909</v>
      </c>
      <c r="E27" s="32" t="s">
        <v>910</v>
      </c>
      <c r="F27" s="32" t="s">
        <v>1041</v>
      </c>
      <c r="G27" s="32" t="s">
        <v>883</v>
      </c>
      <c r="H27" s="32" t="s">
        <v>921</v>
      </c>
      <c r="I27" s="34" t="s">
        <v>1042</v>
      </c>
      <c r="J27" s="32" t="s">
        <v>975</v>
      </c>
      <c r="K27" s="35">
        <v>5.5</v>
      </c>
      <c r="L27" s="35">
        <v>4</v>
      </c>
      <c r="M27" s="36">
        <f>K27*L27</f>
        <v>22</v>
      </c>
      <c r="N27" s="35">
        <v>6</v>
      </c>
      <c r="O27" s="35">
        <v>4.5</v>
      </c>
      <c r="P27" s="36">
        <f>N27+O27</f>
        <v>10.5</v>
      </c>
      <c r="Q27" s="36">
        <f>N27*O27</f>
        <v>27</v>
      </c>
      <c r="R27" s="36">
        <f>M27/P27</f>
        <v>2.0952380952380953</v>
      </c>
      <c r="S27" s="36">
        <f>M27/Q27</f>
        <v>0.81481481481481477</v>
      </c>
      <c r="T27" s="36">
        <f>R27/S27</f>
        <v>2.5714285714285716</v>
      </c>
      <c r="U27" s="33" t="str">
        <f>IF(T27&lt;2,"GREEN",IF(T27&lt;5,"AMBER","RED"))</f>
        <v>AMBER</v>
      </c>
      <c r="V27" s="32" t="s">
        <v>893</v>
      </c>
      <c r="W27" s="32" t="s">
        <v>895</v>
      </c>
      <c r="X27" s="32" t="s">
        <v>894</v>
      </c>
      <c r="Y27" s="34" t="s">
        <v>1043</v>
      </c>
    </row>
    <row r="28" spans="1:25" ht="26.85" customHeight="1" x14ac:dyDescent="0.2">
      <c r="A28" s="32">
        <v>27</v>
      </c>
      <c r="B28" s="32" t="s">
        <v>1044</v>
      </c>
      <c r="C28" s="33" t="s">
        <v>1045</v>
      </c>
      <c r="D28" s="32" t="s">
        <v>1027</v>
      </c>
      <c r="E28" s="32" t="s">
        <v>1028</v>
      </c>
      <c r="F28" s="32" t="s">
        <v>1046</v>
      </c>
      <c r="G28" s="32" t="s">
        <v>997</v>
      </c>
      <c r="H28" s="32" t="s">
        <v>903</v>
      </c>
      <c r="I28" s="34" t="s">
        <v>1047</v>
      </c>
      <c r="J28" s="32" t="s">
        <v>980</v>
      </c>
      <c r="K28" s="35">
        <v>8</v>
      </c>
      <c r="L28" s="35">
        <v>4</v>
      </c>
      <c r="M28" s="36">
        <f>K28*L28</f>
        <v>32</v>
      </c>
      <c r="N28" s="35">
        <v>4</v>
      </c>
      <c r="O28" s="35">
        <v>3</v>
      </c>
      <c r="P28" s="36">
        <f>N28+O28</f>
        <v>7</v>
      </c>
      <c r="Q28" s="36">
        <f>N28*O28</f>
        <v>12</v>
      </c>
      <c r="R28" s="36">
        <f>M28/P28</f>
        <v>4.5714285714285712</v>
      </c>
      <c r="S28" s="36">
        <f>M28/Q28</f>
        <v>2.6666666666666665</v>
      </c>
      <c r="T28" s="36">
        <f>R28/S28</f>
        <v>1.7142857142857142</v>
      </c>
      <c r="U28" s="33" t="str">
        <f>IF(T28&lt;2,"GREEN",IF(T28&lt;5,"AMBER","RED"))</f>
        <v>GREEN</v>
      </c>
      <c r="V28" s="32" t="s">
        <v>895</v>
      </c>
      <c r="W28" s="32" t="s">
        <v>894</v>
      </c>
      <c r="X28" s="32" t="s">
        <v>887</v>
      </c>
      <c r="Y28" s="34" t="s">
        <v>1048</v>
      </c>
    </row>
    <row r="29" spans="1:25" ht="23.25" customHeight="1" x14ac:dyDescent="0.2">
      <c r="A29" s="32">
        <v>28</v>
      </c>
      <c r="B29" s="32" t="s">
        <v>1049</v>
      </c>
      <c r="C29" s="33" t="s">
        <v>1050</v>
      </c>
      <c r="D29" s="32" t="s">
        <v>1027</v>
      </c>
      <c r="E29" s="32" t="s">
        <v>1028</v>
      </c>
      <c r="F29" s="32" t="s">
        <v>1002</v>
      </c>
      <c r="G29" s="32" t="s">
        <v>997</v>
      </c>
      <c r="H29" s="32" t="s">
        <v>903</v>
      </c>
      <c r="I29" s="34" t="s">
        <v>1051</v>
      </c>
      <c r="J29" s="32" t="s">
        <v>1052</v>
      </c>
      <c r="K29" s="35">
        <v>7</v>
      </c>
      <c r="L29" s="35">
        <v>3.8</v>
      </c>
      <c r="M29" s="36">
        <f>K29*L29</f>
        <v>26.599999999999998</v>
      </c>
      <c r="N29" s="35">
        <v>3.5</v>
      </c>
      <c r="O29" s="35">
        <v>3</v>
      </c>
      <c r="P29" s="36">
        <f>N29+O29</f>
        <v>6.5</v>
      </c>
      <c r="Q29" s="36">
        <f>N29*O29</f>
        <v>10.5</v>
      </c>
      <c r="R29" s="36">
        <f>M29/P29</f>
        <v>4.092307692307692</v>
      </c>
      <c r="S29" s="36">
        <f>M29/Q29</f>
        <v>2.5333333333333332</v>
      </c>
      <c r="T29" s="36">
        <f>R29/S29</f>
        <v>1.6153846153846154</v>
      </c>
      <c r="U29" s="33" t="str">
        <f>IF(T29&lt;2,"GREEN",IF(T29&lt;5,"AMBER","RED"))</f>
        <v>GREEN</v>
      </c>
      <c r="V29" s="32" t="s">
        <v>923</v>
      </c>
      <c r="W29" s="32" t="s">
        <v>894</v>
      </c>
      <c r="X29" s="32" t="s">
        <v>894</v>
      </c>
      <c r="Y29" s="34" t="s">
        <v>1053</v>
      </c>
    </row>
    <row r="30" spans="1:25" ht="23.25" customHeight="1" x14ac:dyDescent="0.2">
      <c r="A30" s="32">
        <v>29</v>
      </c>
      <c r="B30" s="32" t="s">
        <v>1054</v>
      </c>
      <c r="C30" s="33" t="s">
        <v>1055</v>
      </c>
      <c r="D30" s="32" t="s">
        <v>1014</v>
      </c>
      <c r="E30" s="32" t="s">
        <v>1015</v>
      </c>
      <c r="F30" s="32" t="s">
        <v>1056</v>
      </c>
      <c r="G30" s="32" t="s">
        <v>1017</v>
      </c>
      <c r="H30" s="32" t="s">
        <v>884</v>
      </c>
      <c r="I30" s="34" t="s">
        <v>1057</v>
      </c>
      <c r="J30" s="32" t="s">
        <v>1058</v>
      </c>
      <c r="K30" s="35">
        <v>9.5</v>
      </c>
      <c r="L30" s="35">
        <v>8.5</v>
      </c>
      <c r="M30" s="36">
        <f>K30*L30</f>
        <v>80.75</v>
      </c>
      <c r="N30" s="35">
        <v>4.5</v>
      </c>
      <c r="O30" s="35">
        <v>3.5</v>
      </c>
      <c r="P30" s="36">
        <f>N30+O30</f>
        <v>8</v>
      </c>
      <c r="Q30" s="36">
        <f>N30*O30</f>
        <v>15.75</v>
      </c>
      <c r="R30" s="36">
        <f>M30/P30</f>
        <v>10.09375</v>
      </c>
      <c r="S30" s="36">
        <f>M30/Q30</f>
        <v>5.1269841269841274</v>
      </c>
      <c r="T30" s="36">
        <f>R30/S30</f>
        <v>1.9687499999999998</v>
      </c>
      <c r="U30" s="33" t="str">
        <f>IF(T30&lt;2,"GREEN",IF(T30&lt;5,"AMBER","RED"))</f>
        <v>GREEN</v>
      </c>
      <c r="V30" s="32" t="s">
        <v>894</v>
      </c>
      <c r="W30" s="32" t="s">
        <v>894</v>
      </c>
      <c r="X30" s="32" t="s">
        <v>887</v>
      </c>
      <c r="Y30" s="34" t="s">
        <v>1059</v>
      </c>
    </row>
    <row r="31" spans="1:25" ht="15" customHeight="1" x14ac:dyDescent="0.2">
      <c r="A31" s="32">
        <v>30</v>
      </c>
      <c r="B31" s="32" t="s">
        <v>1060</v>
      </c>
      <c r="C31" s="33" t="s">
        <v>1061</v>
      </c>
      <c r="D31" s="32" t="s">
        <v>939</v>
      </c>
      <c r="E31" s="32" t="s">
        <v>940</v>
      </c>
      <c r="F31" s="32" t="s">
        <v>984</v>
      </c>
      <c r="G31" s="32" t="s">
        <v>985</v>
      </c>
      <c r="H31" s="32" t="s">
        <v>884</v>
      </c>
      <c r="I31" s="34" t="s">
        <v>1062</v>
      </c>
      <c r="J31" s="32" t="s">
        <v>1019</v>
      </c>
      <c r="K31" s="35">
        <v>4</v>
      </c>
      <c r="L31" s="35">
        <v>3.3</v>
      </c>
      <c r="M31" s="36">
        <f>K31*L31</f>
        <v>13.2</v>
      </c>
      <c r="N31" s="35">
        <v>6.5</v>
      </c>
      <c r="O31" s="35">
        <v>6</v>
      </c>
      <c r="P31" s="36">
        <f>N31+O31</f>
        <v>12.5</v>
      </c>
      <c r="Q31" s="36">
        <f>N31*O31</f>
        <v>39</v>
      </c>
      <c r="R31" s="36">
        <f>M31/P31</f>
        <v>1.056</v>
      </c>
      <c r="S31" s="36">
        <f>M31/Q31</f>
        <v>0.33846153846153842</v>
      </c>
      <c r="T31" s="36">
        <f>R31/S31</f>
        <v>3.1200000000000006</v>
      </c>
      <c r="U31" s="33" t="str">
        <f>IF(T31&lt;2,"GREEN",IF(T31&lt;5,"AMBER","RED"))</f>
        <v>AMBER</v>
      </c>
      <c r="V31" s="32" t="s">
        <v>913</v>
      </c>
      <c r="W31" s="32" t="s">
        <v>913</v>
      </c>
      <c r="X31" s="32" t="s">
        <v>1063</v>
      </c>
      <c r="Y31" s="34" t="s">
        <v>1064</v>
      </c>
    </row>
    <row r="32" spans="1:25" ht="23.25" customHeight="1" x14ac:dyDescent="0.2">
      <c r="A32" s="32">
        <v>31</v>
      </c>
      <c r="B32" s="32" t="s">
        <v>1065</v>
      </c>
      <c r="C32" s="33" t="s">
        <v>1066</v>
      </c>
      <c r="D32" s="32" t="s">
        <v>1027</v>
      </c>
      <c r="E32" s="32" t="s">
        <v>1028</v>
      </c>
      <c r="F32" s="32" t="s">
        <v>1067</v>
      </c>
      <c r="G32" s="32" t="s">
        <v>1003</v>
      </c>
      <c r="H32" s="32" t="s">
        <v>929</v>
      </c>
      <c r="I32" s="34" t="s">
        <v>1068</v>
      </c>
      <c r="J32" s="32" t="s">
        <v>1005</v>
      </c>
      <c r="K32" s="35">
        <v>7</v>
      </c>
      <c r="L32" s="35">
        <v>3.1</v>
      </c>
      <c r="M32" s="36">
        <f>K32*L32</f>
        <v>21.7</v>
      </c>
      <c r="N32" s="35">
        <v>5</v>
      </c>
      <c r="O32" s="35">
        <v>3</v>
      </c>
      <c r="P32" s="36">
        <f>N32+O32</f>
        <v>8</v>
      </c>
      <c r="Q32" s="36">
        <f>N32*O32</f>
        <v>15</v>
      </c>
      <c r="R32" s="36">
        <f>M32/P32</f>
        <v>2.7124999999999999</v>
      </c>
      <c r="S32" s="36">
        <f>M32/Q32</f>
        <v>1.4466666666666665</v>
      </c>
      <c r="T32" s="36">
        <f>R32/S32</f>
        <v>1.875</v>
      </c>
      <c r="U32" s="33" t="str">
        <f>IF(T32&lt;2,"GREEN",IF(T32&lt;5,"AMBER","RED"))</f>
        <v>GREEN</v>
      </c>
      <c r="V32" s="32" t="s">
        <v>923</v>
      </c>
      <c r="W32" s="32" t="s">
        <v>887</v>
      </c>
      <c r="X32" s="32" t="s">
        <v>894</v>
      </c>
      <c r="Y32" s="34" t="s">
        <v>1069</v>
      </c>
    </row>
    <row r="33" spans="1:25" ht="15" customHeight="1" x14ac:dyDescent="0.2">
      <c r="A33" s="32">
        <v>32</v>
      </c>
      <c r="B33" s="32" t="s">
        <v>1070</v>
      </c>
      <c r="C33" s="33" t="s">
        <v>1071</v>
      </c>
      <c r="D33" s="32" t="s">
        <v>1014</v>
      </c>
      <c r="E33" s="32" t="s">
        <v>1015</v>
      </c>
      <c r="F33" s="32" t="s">
        <v>1016</v>
      </c>
      <c r="G33" s="32" t="s">
        <v>1017</v>
      </c>
      <c r="H33" s="32" t="s">
        <v>884</v>
      </c>
      <c r="I33" s="34" t="s">
        <v>1072</v>
      </c>
      <c r="J33" s="32" t="s">
        <v>1019</v>
      </c>
      <c r="K33" s="35">
        <v>6</v>
      </c>
      <c r="L33" s="35">
        <v>2.8</v>
      </c>
      <c r="M33" s="36">
        <f>K33*L33</f>
        <v>16.799999999999997</v>
      </c>
      <c r="N33" s="35">
        <v>5.5</v>
      </c>
      <c r="O33" s="35">
        <v>3.5</v>
      </c>
      <c r="P33" s="36">
        <f>N33+O33</f>
        <v>9</v>
      </c>
      <c r="Q33" s="36">
        <f>N33*O33</f>
        <v>19.25</v>
      </c>
      <c r="R33" s="36">
        <f>M33/P33</f>
        <v>1.8666666666666663</v>
      </c>
      <c r="S33" s="36">
        <f>M33/Q33</f>
        <v>0.87272727272727257</v>
      </c>
      <c r="T33" s="36">
        <f>R33/S33</f>
        <v>2.1388888888888888</v>
      </c>
      <c r="U33" s="33" t="str">
        <f>IF(T33&lt;2,"GREEN",IF(T33&lt;5,"AMBER","RED"))</f>
        <v>AMBER</v>
      </c>
      <c r="V33" s="32" t="s">
        <v>913</v>
      </c>
      <c r="W33" s="32" t="s">
        <v>895</v>
      </c>
      <c r="X33" s="32" t="s">
        <v>887</v>
      </c>
      <c r="Y33" s="34" t="s">
        <v>1073</v>
      </c>
    </row>
    <row r="34" spans="1:25" ht="23.25" customHeight="1" x14ac:dyDescent="0.2">
      <c r="A34" s="32">
        <v>33</v>
      </c>
      <c r="B34" s="32" t="s">
        <v>1074</v>
      </c>
      <c r="C34" s="33" t="s">
        <v>1075</v>
      </c>
      <c r="D34" s="32" t="s">
        <v>909</v>
      </c>
      <c r="E34" s="32" t="s">
        <v>910</v>
      </c>
      <c r="F34" s="32" t="s">
        <v>1076</v>
      </c>
      <c r="G34" s="32" t="s">
        <v>942</v>
      </c>
      <c r="H34" s="32" t="s">
        <v>903</v>
      </c>
      <c r="I34" s="34" t="s">
        <v>1077</v>
      </c>
      <c r="J34" s="32" t="s">
        <v>912</v>
      </c>
      <c r="K34" s="35">
        <v>7.5</v>
      </c>
      <c r="L34" s="35">
        <v>2.5</v>
      </c>
      <c r="M34" s="36">
        <f>K34*L34</f>
        <v>18.75</v>
      </c>
      <c r="N34" s="35">
        <v>4.5</v>
      </c>
      <c r="O34" s="35">
        <v>4</v>
      </c>
      <c r="P34" s="36">
        <f>N34+O34</f>
        <v>8.5</v>
      </c>
      <c r="Q34" s="36">
        <f>N34*O34</f>
        <v>18</v>
      </c>
      <c r="R34" s="36">
        <f>M34/P34</f>
        <v>2.2058823529411766</v>
      </c>
      <c r="S34" s="36">
        <f>M34/Q34</f>
        <v>1.0416666666666667</v>
      </c>
      <c r="T34" s="36">
        <f>R34/S34</f>
        <v>2.1176470588235294</v>
      </c>
      <c r="U34" s="33" t="str">
        <f>IF(T34&lt;2,"GREEN",IF(T34&lt;5,"AMBER","RED"))</f>
        <v>AMBER</v>
      </c>
      <c r="V34" s="32" t="s">
        <v>895</v>
      </c>
      <c r="W34" s="32" t="s">
        <v>895</v>
      </c>
      <c r="X34" s="32" t="s">
        <v>894</v>
      </c>
      <c r="Y34" s="34" t="s">
        <v>1078</v>
      </c>
    </row>
    <row r="35" spans="1:25" ht="15" customHeight="1" x14ac:dyDescent="0.2">
      <c r="A35" s="32">
        <v>34</v>
      </c>
      <c r="B35" s="32" t="s">
        <v>1079</v>
      </c>
      <c r="C35" s="33" t="s">
        <v>1080</v>
      </c>
      <c r="D35" s="32" t="s">
        <v>909</v>
      </c>
      <c r="E35" s="32" t="s">
        <v>1081</v>
      </c>
      <c r="F35" s="32" t="s">
        <v>1009</v>
      </c>
      <c r="G35" s="32" t="s">
        <v>991</v>
      </c>
      <c r="H35" s="32" t="s">
        <v>929</v>
      </c>
      <c r="I35" s="34" t="s">
        <v>1082</v>
      </c>
      <c r="J35" s="32" t="s">
        <v>975</v>
      </c>
      <c r="K35" s="35">
        <v>3</v>
      </c>
      <c r="L35" s="35">
        <v>2.2000000000000002</v>
      </c>
      <c r="M35" s="36">
        <f>K35*L35</f>
        <v>6.6000000000000005</v>
      </c>
      <c r="N35" s="35">
        <v>8</v>
      </c>
      <c r="O35" s="35">
        <v>7</v>
      </c>
      <c r="P35" s="36">
        <f>N35+O35</f>
        <v>15</v>
      </c>
      <c r="Q35" s="36">
        <f>N35*O35</f>
        <v>56</v>
      </c>
      <c r="R35" s="36">
        <f>M35/P35</f>
        <v>0.44000000000000006</v>
      </c>
      <c r="S35" s="36">
        <f>M35/Q35</f>
        <v>0.11785714285714287</v>
      </c>
      <c r="T35" s="36">
        <f>R35/S35</f>
        <v>3.7333333333333334</v>
      </c>
      <c r="U35" s="33" t="str">
        <f>IF(T35&lt;2,"GREEN",IF(T35&lt;5,"AMBER","RED"))</f>
        <v>AMBER</v>
      </c>
      <c r="V35" s="32" t="s">
        <v>913</v>
      </c>
      <c r="W35" s="32" t="s">
        <v>913</v>
      </c>
      <c r="X35" s="32" t="s">
        <v>1063</v>
      </c>
      <c r="Y35" s="34" t="s">
        <v>1083</v>
      </c>
    </row>
    <row r="36" spans="1:25" ht="23.25" customHeight="1" x14ac:dyDescent="0.2">
      <c r="A36" s="32">
        <v>35</v>
      </c>
      <c r="B36" s="32" t="s">
        <v>1084</v>
      </c>
      <c r="C36" s="33" t="s">
        <v>1085</v>
      </c>
      <c r="D36" s="32" t="s">
        <v>899</v>
      </c>
      <c r="E36" s="32" t="s">
        <v>900</v>
      </c>
      <c r="F36" s="32" t="s">
        <v>1086</v>
      </c>
      <c r="G36" s="32" t="s">
        <v>985</v>
      </c>
      <c r="H36" s="32" t="s">
        <v>884</v>
      </c>
      <c r="I36" s="34" t="s">
        <v>1087</v>
      </c>
      <c r="J36" s="32" t="s">
        <v>931</v>
      </c>
      <c r="K36" s="35">
        <v>9</v>
      </c>
      <c r="L36" s="35">
        <v>1.8</v>
      </c>
      <c r="M36" s="36">
        <f>K36*L36</f>
        <v>16.2</v>
      </c>
      <c r="N36" s="35">
        <v>4</v>
      </c>
      <c r="O36" s="35">
        <v>3.5</v>
      </c>
      <c r="P36" s="36">
        <f>N36+O36</f>
        <v>7.5</v>
      </c>
      <c r="Q36" s="36">
        <f>N36*O36</f>
        <v>14</v>
      </c>
      <c r="R36" s="36">
        <f>M36/P36</f>
        <v>2.1599999999999997</v>
      </c>
      <c r="S36" s="36">
        <f>M36/Q36</f>
        <v>1.157142857142857</v>
      </c>
      <c r="T36" s="36">
        <f>R36/S36</f>
        <v>1.8666666666666667</v>
      </c>
      <c r="U36" s="33" t="str">
        <f>IF(T36&lt;2,"GREEN",IF(T36&lt;5,"AMBER","RED"))</f>
        <v>GREEN</v>
      </c>
      <c r="V36" s="32" t="s">
        <v>923</v>
      </c>
      <c r="W36" s="32" t="s">
        <v>894</v>
      </c>
      <c r="X36" s="32" t="s">
        <v>894</v>
      </c>
      <c r="Y36" s="34" t="s">
        <v>1088</v>
      </c>
    </row>
    <row r="37" spans="1:25" ht="15" customHeight="1" x14ac:dyDescent="0.2">
      <c r="A37" s="32">
        <v>36</v>
      </c>
      <c r="B37" s="32" t="s">
        <v>1089</v>
      </c>
      <c r="C37" s="33" t="s">
        <v>1090</v>
      </c>
      <c r="D37" s="32" t="s">
        <v>917</v>
      </c>
      <c r="E37" s="32" t="s">
        <v>918</v>
      </c>
      <c r="F37" s="32" t="s">
        <v>1091</v>
      </c>
      <c r="G37" s="32" t="s">
        <v>1003</v>
      </c>
      <c r="H37" s="32" t="s">
        <v>929</v>
      </c>
      <c r="I37" s="34" t="s">
        <v>1092</v>
      </c>
      <c r="J37" s="32" t="s">
        <v>980</v>
      </c>
      <c r="K37" s="35">
        <v>8.5</v>
      </c>
      <c r="L37" s="35">
        <v>1.6</v>
      </c>
      <c r="M37" s="36">
        <f>K37*L37</f>
        <v>13.600000000000001</v>
      </c>
      <c r="N37" s="35">
        <v>4</v>
      </c>
      <c r="O37" s="35">
        <v>3.5</v>
      </c>
      <c r="P37" s="36">
        <f>N37+O37</f>
        <v>7.5</v>
      </c>
      <c r="Q37" s="36">
        <f>N37*O37</f>
        <v>14</v>
      </c>
      <c r="R37" s="36">
        <f>M37/P37</f>
        <v>1.8133333333333335</v>
      </c>
      <c r="S37" s="36">
        <f>M37/Q37</f>
        <v>0.97142857142857153</v>
      </c>
      <c r="T37" s="36">
        <f>R37/S37</f>
        <v>1.8666666666666667</v>
      </c>
      <c r="U37" s="33" t="str">
        <f>IF(T37&lt;2,"GREEN",IF(T37&lt;5,"AMBER","RED"))</f>
        <v>GREEN</v>
      </c>
      <c r="V37" s="32" t="s">
        <v>895</v>
      </c>
      <c r="W37" s="32" t="s">
        <v>894</v>
      </c>
      <c r="X37" s="32" t="s">
        <v>887</v>
      </c>
      <c r="Y37" s="34" t="s">
        <v>1093</v>
      </c>
    </row>
    <row r="38" spans="1:25" ht="23.25" customHeight="1" x14ac:dyDescent="0.2">
      <c r="A38" s="37">
        <v>37</v>
      </c>
      <c r="B38" s="37" t="s">
        <v>1094</v>
      </c>
      <c r="C38" s="38" t="s">
        <v>1095</v>
      </c>
      <c r="D38" s="37" t="s">
        <v>1014</v>
      </c>
      <c r="E38" s="37" t="s">
        <v>1015</v>
      </c>
      <c r="F38" s="37" t="s">
        <v>1091</v>
      </c>
      <c r="G38" s="37" t="s">
        <v>1003</v>
      </c>
      <c r="H38" s="37" t="s">
        <v>929</v>
      </c>
      <c r="I38" s="39" t="s">
        <v>1096</v>
      </c>
      <c r="J38" s="37" t="s">
        <v>1097</v>
      </c>
      <c r="K38" s="40">
        <v>9</v>
      </c>
      <c r="L38" s="40">
        <v>1</v>
      </c>
      <c r="M38" s="41">
        <f>K38*L38</f>
        <v>9</v>
      </c>
      <c r="N38" s="40">
        <v>5.5</v>
      </c>
      <c r="O38" s="40">
        <v>5</v>
      </c>
      <c r="P38" s="41">
        <f>N38+O38</f>
        <v>10.5</v>
      </c>
      <c r="Q38" s="41">
        <f>N38*O38</f>
        <v>27.5</v>
      </c>
      <c r="R38" s="41">
        <f>M38/P38</f>
        <v>0.8571428571428571</v>
      </c>
      <c r="S38" s="41">
        <f>M38/Q38</f>
        <v>0.32727272727272727</v>
      </c>
      <c r="T38" s="41">
        <f>R38/S38</f>
        <v>2.6190476190476191</v>
      </c>
      <c r="U38" s="38" t="str">
        <f>IF(T38&lt;2,"GREEN",IF(T38&lt;5,"AMBER","RED"))</f>
        <v>AMBER</v>
      </c>
      <c r="V38" s="37" t="s">
        <v>894</v>
      </c>
      <c r="W38" s="37" t="s">
        <v>894</v>
      </c>
      <c r="X38" s="37" t="s">
        <v>887</v>
      </c>
      <c r="Y38" s="39" t="s">
        <v>1098</v>
      </c>
    </row>
    <row r="40" spans="1:25" x14ac:dyDescent="0.2">
      <c r="A40" s="137" t="s">
        <v>1099</v>
      </c>
    </row>
    <row r="43" spans="1:25" x14ac:dyDescent="0.2">
      <c r="B43" s="257" t="s">
        <v>853</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396" customWidth="1"/>
    <col min="2" max="2" width="34.97265625" style="396" customWidth="1"/>
    <col min="3" max="3" width="11.97265625" style="396" customWidth="1"/>
    <col min="4" max="4" width="13.98828125" style="396" customWidth="1"/>
    <col min="5" max="6" width="11.97265625" style="396" customWidth="1"/>
    <col min="7" max="7" width="29.99609375" style="396" customWidth="1"/>
    <col min="8" max="8" width="13.98828125" style="396" customWidth="1"/>
  </cols>
  <sheetData>
    <row r="1" spans="1:8" ht="15" customHeight="1" x14ac:dyDescent="0.2">
      <c r="A1" s="42" t="s">
        <v>1100</v>
      </c>
      <c r="B1" s="42" t="s">
        <v>1101</v>
      </c>
      <c r="C1" s="42" t="s">
        <v>1102</v>
      </c>
      <c r="D1" s="42" t="s">
        <v>1103</v>
      </c>
      <c r="E1" s="42" t="s">
        <v>1104</v>
      </c>
      <c r="F1" s="42" t="s">
        <v>1105</v>
      </c>
      <c r="G1" s="42" t="s">
        <v>1106</v>
      </c>
      <c r="H1" s="42" t="s">
        <v>1107</v>
      </c>
    </row>
    <row r="2" spans="1:8" ht="15" customHeight="1" x14ac:dyDescent="0.2">
      <c r="A2" s="43">
        <v>1</v>
      </c>
      <c r="B2" s="44" t="s">
        <v>1108</v>
      </c>
      <c r="C2" s="45">
        <v>1.4</v>
      </c>
      <c r="D2" s="45">
        <v>0.8</v>
      </c>
      <c r="E2" s="45">
        <v>0.7</v>
      </c>
      <c r="F2" s="45">
        <v>0.4</v>
      </c>
      <c r="G2" s="44" t="s">
        <v>941</v>
      </c>
      <c r="H2" s="46" t="s">
        <v>1109</v>
      </c>
    </row>
    <row r="3" spans="1:8" ht="15" customHeight="1" x14ac:dyDescent="0.2">
      <c r="A3" s="43">
        <v>2</v>
      </c>
      <c r="B3" s="44" t="s">
        <v>1110</v>
      </c>
      <c r="C3" s="45">
        <v>1.71</v>
      </c>
      <c r="D3" s="45">
        <v>0.75</v>
      </c>
      <c r="E3" s="45">
        <v>0.8</v>
      </c>
      <c r="F3" s="45">
        <v>0.35</v>
      </c>
      <c r="G3" s="44" t="s">
        <v>984</v>
      </c>
      <c r="H3" s="46" t="s">
        <v>1109</v>
      </c>
    </row>
    <row r="4" spans="1:8" ht="15" customHeight="1" x14ac:dyDescent="0.2">
      <c r="A4" s="43">
        <v>3</v>
      </c>
      <c r="B4" s="44" t="s">
        <v>1111</v>
      </c>
      <c r="C4" s="45">
        <v>1.02</v>
      </c>
      <c r="D4" s="45">
        <v>0.85</v>
      </c>
      <c r="E4" s="45">
        <v>0.6</v>
      </c>
      <c r="F4" s="45">
        <v>0.5</v>
      </c>
      <c r="G4" s="44" t="s">
        <v>1112</v>
      </c>
      <c r="H4" s="47" t="s">
        <v>1109</v>
      </c>
    </row>
    <row r="5" spans="1:8" ht="15" customHeight="1" x14ac:dyDescent="0.2">
      <c r="A5" s="43">
        <v>4</v>
      </c>
      <c r="B5" s="44" t="s">
        <v>1113</v>
      </c>
      <c r="C5" s="45">
        <v>1.75</v>
      </c>
      <c r="D5" s="45">
        <v>0.7</v>
      </c>
      <c r="E5" s="45">
        <v>0.75</v>
      </c>
      <c r="F5" s="45">
        <v>0.3</v>
      </c>
      <c r="G5" s="44" t="s">
        <v>1114</v>
      </c>
      <c r="H5" s="48" t="s">
        <v>1109</v>
      </c>
    </row>
    <row r="6" spans="1:8" ht="15" customHeight="1" x14ac:dyDescent="0.2">
      <c r="A6" s="43">
        <v>5</v>
      </c>
      <c r="B6" s="44" t="s">
        <v>1115</v>
      </c>
      <c r="C6" s="45">
        <v>2.72</v>
      </c>
      <c r="D6" s="45">
        <v>0.8</v>
      </c>
      <c r="E6" s="45">
        <v>0.85</v>
      </c>
      <c r="F6" s="45">
        <v>0.25</v>
      </c>
      <c r="G6" s="44" t="s">
        <v>919</v>
      </c>
      <c r="H6" s="48" t="s">
        <v>1116</v>
      </c>
    </row>
    <row r="7" spans="1:8" ht="15" customHeight="1" x14ac:dyDescent="0.2">
      <c r="A7" s="43">
        <v>6</v>
      </c>
      <c r="B7" s="44" t="s">
        <v>1117</v>
      </c>
      <c r="C7" s="45">
        <v>1.31</v>
      </c>
      <c r="D7" s="45">
        <v>0.75</v>
      </c>
      <c r="E7" s="45">
        <v>0.7</v>
      </c>
      <c r="F7" s="45">
        <v>0.4</v>
      </c>
      <c r="G7" s="44" t="s">
        <v>1118</v>
      </c>
      <c r="H7" s="46" t="s">
        <v>1109</v>
      </c>
    </row>
    <row r="8" spans="1:8" ht="15" customHeight="1" x14ac:dyDescent="0.2">
      <c r="A8" s="43">
        <v>7</v>
      </c>
      <c r="B8" s="44" t="s">
        <v>1119</v>
      </c>
      <c r="C8" s="45">
        <v>0.44</v>
      </c>
      <c r="D8" s="45">
        <v>0.6</v>
      </c>
      <c r="E8" s="45">
        <v>0.5</v>
      </c>
      <c r="F8" s="45">
        <v>0.68</v>
      </c>
      <c r="G8" s="44" t="s">
        <v>919</v>
      </c>
      <c r="H8" s="49" t="s">
        <v>388</v>
      </c>
    </row>
    <row r="9" spans="1:8" ht="15" customHeight="1" x14ac:dyDescent="0.2">
      <c r="A9" s="43">
        <v>8</v>
      </c>
      <c r="B9" s="44" t="s">
        <v>1120</v>
      </c>
      <c r="C9" s="45">
        <v>3.4</v>
      </c>
      <c r="D9" s="45">
        <v>0.85</v>
      </c>
      <c r="E9" s="45">
        <v>0.8</v>
      </c>
      <c r="F9" s="45">
        <v>0.2</v>
      </c>
      <c r="G9" s="44" t="s">
        <v>972</v>
      </c>
      <c r="H9" s="48" t="s">
        <v>1116</v>
      </c>
    </row>
    <row r="10" spans="1:8" ht="15" customHeight="1" x14ac:dyDescent="0.2">
      <c r="A10" s="43">
        <v>9</v>
      </c>
      <c r="B10" s="44" t="s">
        <v>1121</v>
      </c>
      <c r="C10" s="45">
        <v>1.6</v>
      </c>
      <c r="D10" s="45">
        <v>0.8</v>
      </c>
      <c r="E10" s="45">
        <v>0.7</v>
      </c>
      <c r="F10" s="45">
        <v>0.35</v>
      </c>
      <c r="G10" s="44" t="s">
        <v>1122</v>
      </c>
      <c r="H10" s="46" t="s">
        <v>1109</v>
      </c>
    </row>
    <row r="11" spans="1:8" ht="15" customHeight="1" x14ac:dyDescent="0.2">
      <c r="A11" s="43">
        <v>10</v>
      </c>
      <c r="B11" s="44" t="s">
        <v>1123</v>
      </c>
      <c r="C11" s="45">
        <v>2.73</v>
      </c>
      <c r="D11" s="45">
        <v>0.9</v>
      </c>
      <c r="E11" s="45">
        <v>0.85</v>
      </c>
      <c r="F11" s="45">
        <v>0.28000000000000003</v>
      </c>
      <c r="G11" s="44" t="s">
        <v>1124</v>
      </c>
      <c r="H11" s="48" t="s">
        <v>1116</v>
      </c>
    </row>
    <row r="12" spans="1:8" ht="15" customHeight="1" x14ac:dyDescent="0.2">
      <c r="A12" s="43">
        <v>11</v>
      </c>
      <c r="B12" s="44" t="s">
        <v>1125</v>
      </c>
      <c r="C12" s="45">
        <v>1.08</v>
      </c>
      <c r="D12" s="45">
        <v>0.75</v>
      </c>
      <c r="E12" s="45">
        <v>0.65</v>
      </c>
      <c r="F12" s="45">
        <v>0.45</v>
      </c>
      <c r="G12" s="44" t="s">
        <v>962</v>
      </c>
      <c r="H12" s="47" t="s">
        <v>1109</v>
      </c>
    </row>
    <row r="13" spans="1:8" ht="15" customHeight="1" x14ac:dyDescent="0.2">
      <c r="A13" s="43">
        <v>12</v>
      </c>
      <c r="B13" s="44" t="s">
        <v>1126</v>
      </c>
      <c r="C13" s="45">
        <v>2</v>
      </c>
      <c r="D13" s="45">
        <v>0.8</v>
      </c>
      <c r="E13" s="45">
        <v>0.75</v>
      </c>
      <c r="F13" s="45">
        <v>0.3</v>
      </c>
      <c r="G13" s="44" t="s">
        <v>1122</v>
      </c>
      <c r="H13" s="48" t="s">
        <v>1116</v>
      </c>
    </row>
    <row r="14" spans="1:8" ht="15" customHeight="1" x14ac:dyDescent="0.2">
      <c r="A14" s="43">
        <v>13</v>
      </c>
      <c r="B14" s="44" t="s">
        <v>1127</v>
      </c>
      <c r="C14" s="45">
        <v>0.84</v>
      </c>
      <c r="D14" s="45">
        <v>0.7</v>
      </c>
      <c r="E14" s="45">
        <v>0.6</v>
      </c>
      <c r="F14" s="45">
        <v>0.5</v>
      </c>
      <c r="G14" s="44" t="s">
        <v>984</v>
      </c>
      <c r="H14" s="49" t="s">
        <v>1128</v>
      </c>
    </row>
    <row r="15" spans="1:8" ht="15" customHeight="1" x14ac:dyDescent="0.2">
      <c r="A15" s="43">
        <v>14</v>
      </c>
      <c r="B15" s="44" t="s">
        <v>1129</v>
      </c>
      <c r="C15" s="45">
        <v>1.31</v>
      </c>
      <c r="D15" s="45">
        <v>0.75</v>
      </c>
      <c r="E15" s="45">
        <v>0.7</v>
      </c>
      <c r="F15" s="45">
        <v>0.4</v>
      </c>
      <c r="G15" s="44" t="s">
        <v>1130</v>
      </c>
      <c r="H15" s="46" t="s">
        <v>1109</v>
      </c>
    </row>
    <row r="16" spans="1:8" ht="15" customHeight="1" x14ac:dyDescent="0.2">
      <c r="A16" s="43">
        <v>15</v>
      </c>
      <c r="B16" s="44" t="s">
        <v>1131</v>
      </c>
      <c r="C16" s="45">
        <v>0.65</v>
      </c>
      <c r="D16" s="45">
        <v>0.65</v>
      </c>
      <c r="E16" s="45">
        <v>0.55000000000000004</v>
      </c>
      <c r="F16" s="45">
        <v>0.55000000000000004</v>
      </c>
      <c r="G16" s="44" t="s">
        <v>1132</v>
      </c>
      <c r="H16" s="49" t="s">
        <v>1128</v>
      </c>
    </row>
    <row r="17" spans="1:8" ht="15" customHeight="1" x14ac:dyDescent="0.2">
      <c r="A17" s="43">
        <v>16</v>
      </c>
      <c r="B17" s="44" t="s">
        <v>1133</v>
      </c>
      <c r="C17" s="45">
        <v>1.5</v>
      </c>
      <c r="D17" s="45">
        <v>0.8</v>
      </c>
      <c r="E17" s="45">
        <v>0.75</v>
      </c>
      <c r="F17" s="45">
        <v>0.4</v>
      </c>
      <c r="G17" s="44" t="s">
        <v>1091</v>
      </c>
      <c r="H17" s="46" t="s">
        <v>1109</v>
      </c>
    </row>
    <row r="18" spans="1:8" ht="15" customHeight="1" x14ac:dyDescent="0.2">
      <c r="A18" s="43">
        <v>17</v>
      </c>
      <c r="B18" s="44" t="s">
        <v>1134</v>
      </c>
      <c r="C18" s="45">
        <v>1.5</v>
      </c>
      <c r="D18" s="45">
        <v>0.75</v>
      </c>
      <c r="E18" s="45">
        <v>0.7</v>
      </c>
      <c r="F18" s="45">
        <v>0.35</v>
      </c>
      <c r="G18" s="44" t="s">
        <v>1135</v>
      </c>
      <c r="H18" s="46" t="s">
        <v>1109</v>
      </c>
    </row>
    <row r="19" spans="1:8" ht="15" customHeight="1" x14ac:dyDescent="0.2">
      <c r="A19" s="43">
        <v>18</v>
      </c>
      <c r="B19" s="44" t="s">
        <v>1136</v>
      </c>
      <c r="C19" s="45">
        <v>2.72</v>
      </c>
      <c r="D19" s="45">
        <v>0.85</v>
      </c>
      <c r="E19" s="45">
        <v>0.8</v>
      </c>
      <c r="F19" s="45">
        <v>0.25</v>
      </c>
      <c r="G19" s="44" t="s">
        <v>1135</v>
      </c>
      <c r="H19" s="48" t="s">
        <v>1116</v>
      </c>
    </row>
    <row r="20" spans="1:8" ht="15" customHeight="1" x14ac:dyDescent="0.2">
      <c r="A20" s="43">
        <v>19</v>
      </c>
      <c r="B20" s="44" t="s">
        <v>1137</v>
      </c>
      <c r="C20" s="45">
        <v>0.9</v>
      </c>
      <c r="D20" s="45">
        <v>0.8</v>
      </c>
      <c r="E20" s="45">
        <v>0.65</v>
      </c>
      <c r="F20" s="45">
        <v>0.57999999999999996</v>
      </c>
      <c r="G20" s="44" t="s">
        <v>1138</v>
      </c>
      <c r="H20" s="47" t="s">
        <v>1128</v>
      </c>
    </row>
    <row r="21" spans="1:8" ht="15" customHeight="1" x14ac:dyDescent="0.2">
      <c r="A21" s="43">
        <v>20</v>
      </c>
      <c r="B21" s="44" t="s">
        <v>1139</v>
      </c>
      <c r="C21" s="45">
        <v>3.6</v>
      </c>
      <c r="D21" s="45">
        <v>0.9</v>
      </c>
      <c r="E21" s="45">
        <v>0.8</v>
      </c>
      <c r="F21" s="45">
        <v>0.2</v>
      </c>
      <c r="G21" s="44" t="s">
        <v>1124</v>
      </c>
      <c r="H21" s="48" t="s">
        <v>1116</v>
      </c>
    </row>
    <row r="22" spans="1:8" ht="15" customHeight="1" x14ac:dyDescent="0.2">
      <c r="A22" s="43">
        <v>21</v>
      </c>
      <c r="B22" s="44" t="s">
        <v>1140</v>
      </c>
      <c r="C22" s="45">
        <v>0.76</v>
      </c>
      <c r="D22" s="45">
        <v>0.7</v>
      </c>
      <c r="E22" s="45">
        <v>0.6</v>
      </c>
      <c r="F22" s="45">
        <v>0.55000000000000004</v>
      </c>
      <c r="G22" s="44" t="s">
        <v>1141</v>
      </c>
      <c r="H22" s="47" t="s">
        <v>1128</v>
      </c>
    </row>
    <row r="23" spans="1:8" x14ac:dyDescent="0.2">
      <c r="A23" s="43">
        <v>22</v>
      </c>
      <c r="B23" s="44" t="s">
        <v>1142</v>
      </c>
      <c r="C23" s="45">
        <v>1.51</v>
      </c>
      <c r="D23" s="45">
        <v>0.85</v>
      </c>
      <c r="E23" s="45">
        <v>0.85</v>
      </c>
      <c r="F23" s="45">
        <v>0.48</v>
      </c>
      <c r="G23" s="44" t="s">
        <v>1143</v>
      </c>
      <c r="H23" s="48" t="s">
        <v>1109</v>
      </c>
    </row>
    <row r="24" spans="1:8" x14ac:dyDescent="0.2">
      <c r="A24" s="43">
        <v>23</v>
      </c>
      <c r="B24" s="44" t="s">
        <v>1144</v>
      </c>
      <c r="C24" s="45">
        <v>2.1</v>
      </c>
      <c r="D24" s="45">
        <v>0.9</v>
      </c>
      <c r="E24" s="45">
        <v>0.7</v>
      </c>
      <c r="F24" s="45">
        <v>0.3</v>
      </c>
      <c r="G24" s="44" t="s">
        <v>1145</v>
      </c>
      <c r="H24" s="47" t="s">
        <v>1116</v>
      </c>
    </row>
    <row r="27" spans="1:8" x14ac:dyDescent="0.2">
      <c r="B27" s="257" t="s">
        <v>853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
  <sheetViews>
    <sheetView workbookViewId="0">
      <pane ySplit="3" topLeftCell="A4" activePane="bottomLeft" state="frozen"/>
      <selection pane="bottomLeft"/>
    </sheetView>
  </sheetViews>
  <sheetFormatPr defaultRowHeight="15" x14ac:dyDescent="0.2"/>
  <cols>
    <col min="1" max="1" width="7.93359375" style="396" customWidth="1"/>
    <col min="2" max="2" width="11.97265625" style="396" customWidth="1"/>
    <col min="3" max="3" width="6.9921875" style="396" customWidth="1"/>
    <col min="4" max="4" width="13.98828125" style="396" customWidth="1"/>
    <col min="5" max="5" width="36.05078125" style="396" customWidth="1"/>
    <col min="6" max="6" width="9.953125" style="396" customWidth="1"/>
    <col min="7" max="7" width="18.0234375" style="396" customWidth="1"/>
    <col min="8" max="8" width="22.05859375" style="396" customWidth="1"/>
    <col min="9" max="10" width="11.97265625" style="396" customWidth="1"/>
    <col min="11" max="11" width="27.98046875" style="396" customWidth="1"/>
    <col min="12" max="12" width="11.97265625" style="396" customWidth="1"/>
    <col min="13" max="19" width="9.953125" style="396" customWidth="1"/>
    <col min="20" max="21" width="11.97265625" style="396" customWidth="1"/>
    <col min="22" max="26" width="9.953125" style="396" customWidth="1"/>
    <col min="27" max="27" width="22.05859375" style="396" customWidth="1"/>
    <col min="28" max="32" width="9.953125" style="396" customWidth="1"/>
    <col min="33" max="33" width="11.97265625" style="396" customWidth="1"/>
    <col min="34" max="34" width="9.953125" style="396" customWidth="1"/>
    <col min="35" max="35" width="59.99609375" style="396" customWidth="1"/>
  </cols>
  <sheetData>
    <row r="1" spans="1:35" ht="27.95" customHeight="1" x14ac:dyDescent="0.2">
      <c r="A1" s="460" t="s">
        <v>1146</v>
      </c>
      <c r="B1" s="416"/>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c r="AF1" s="416"/>
      <c r="AG1" s="416"/>
      <c r="AH1" s="416"/>
    </row>
    <row r="2" spans="1:35" ht="20.100000000000001" customHeight="1" x14ac:dyDescent="0.2">
      <c r="A2" s="458" t="s">
        <v>1147</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row>
    <row r="3" spans="1:35" ht="39.950000000000003" customHeight="1" x14ac:dyDescent="0.2">
      <c r="A3" s="272" t="s">
        <v>1148</v>
      </c>
      <c r="B3" s="272" t="s">
        <v>1149</v>
      </c>
      <c r="C3" s="272" t="s">
        <v>1150</v>
      </c>
      <c r="D3" s="272" t="s">
        <v>1151</v>
      </c>
      <c r="E3" s="272" t="s">
        <v>855</v>
      </c>
      <c r="F3" s="272" t="s">
        <v>856</v>
      </c>
      <c r="G3" s="272" t="s">
        <v>857</v>
      </c>
      <c r="H3" s="272" t="s">
        <v>858</v>
      </c>
      <c r="I3" s="272" t="s">
        <v>1152</v>
      </c>
      <c r="J3" s="272" t="s">
        <v>1153</v>
      </c>
      <c r="K3" s="272" t="s">
        <v>1154</v>
      </c>
      <c r="L3" s="272" t="s">
        <v>1155</v>
      </c>
      <c r="M3" s="272" t="s">
        <v>1156</v>
      </c>
      <c r="N3" s="272" t="s">
        <v>1157</v>
      </c>
      <c r="O3" s="272" t="s">
        <v>1158</v>
      </c>
      <c r="P3" s="272" t="s">
        <v>1159</v>
      </c>
      <c r="Q3" s="272" t="s">
        <v>1160</v>
      </c>
      <c r="R3" s="272" t="s">
        <v>1161</v>
      </c>
      <c r="S3" s="272" t="s">
        <v>1162</v>
      </c>
      <c r="T3" s="272" t="s">
        <v>1163</v>
      </c>
      <c r="U3" s="272" t="s">
        <v>1164</v>
      </c>
      <c r="V3" s="272" t="s">
        <v>1165</v>
      </c>
      <c r="W3" s="272" t="s">
        <v>1166</v>
      </c>
      <c r="X3" s="272" t="s">
        <v>1167</v>
      </c>
      <c r="Y3" s="272" t="s">
        <v>1168</v>
      </c>
      <c r="Z3" s="272" t="s">
        <v>1169</v>
      </c>
      <c r="AA3" s="272" t="s">
        <v>1170</v>
      </c>
      <c r="AB3" s="272" t="s">
        <v>1171</v>
      </c>
      <c r="AC3" s="272" t="s">
        <v>1172</v>
      </c>
      <c r="AD3" s="272" t="s">
        <v>1173</v>
      </c>
      <c r="AE3" s="272" t="s">
        <v>1174</v>
      </c>
      <c r="AF3" s="272" t="s">
        <v>1175</v>
      </c>
      <c r="AG3" s="272" t="s">
        <v>1176</v>
      </c>
      <c r="AH3" s="272" t="s">
        <v>1177</v>
      </c>
      <c r="AI3" s="272" t="s">
        <v>1178</v>
      </c>
    </row>
    <row r="4" spans="1:35" ht="21.95" customHeight="1" x14ac:dyDescent="0.2">
      <c r="A4" s="461" t="s">
        <v>1179</v>
      </c>
      <c r="B4" s="416"/>
      <c r="C4" s="416"/>
      <c r="D4" s="416"/>
      <c r="E4" s="416"/>
      <c r="F4" s="416"/>
      <c r="G4" s="416"/>
      <c r="H4" s="416"/>
      <c r="I4" s="416"/>
      <c r="J4" s="416"/>
      <c r="K4" s="416"/>
      <c r="L4" s="416"/>
      <c r="M4" s="416"/>
      <c r="N4" s="416"/>
      <c r="O4" s="416"/>
      <c r="P4" s="416"/>
      <c r="Q4" s="416"/>
      <c r="R4" s="416"/>
      <c r="S4" s="416"/>
      <c r="T4" s="416"/>
      <c r="U4" s="416"/>
      <c r="V4" s="416"/>
      <c r="W4" s="416"/>
      <c r="X4" s="416"/>
      <c r="Y4" s="416"/>
      <c r="Z4" s="416"/>
      <c r="AA4" s="416"/>
      <c r="AB4" s="416"/>
      <c r="AC4" s="416"/>
      <c r="AD4" s="416"/>
      <c r="AE4" s="416"/>
      <c r="AF4" s="416"/>
      <c r="AG4" s="416"/>
      <c r="AH4" s="416"/>
      <c r="AI4" s="416"/>
    </row>
    <row r="5" spans="1:35" ht="15.95" customHeight="1" x14ac:dyDescent="0.2">
      <c r="A5" s="273">
        <v>1</v>
      </c>
      <c r="B5" s="273" t="s">
        <v>1180</v>
      </c>
      <c r="C5" s="273">
        <v>1</v>
      </c>
      <c r="D5" s="273" t="s">
        <v>878</v>
      </c>
      <c r="E5" s="273" t="s">
        <v>879</v>
      </c>
      <c r="F5" s="273" t="s">
        <v>880</v>
      </c>
      <c r="G5" s="273" t="s">
        <v>881</v>
      </c>
      <c r="H5" s="273" t="s">
        <v>882</v>
      </c>
      <c r="I5" s="273" t="s">
        <v>883</v>
      </c>
      <c r="J5" s="273" t="s">
        <v>884</v>
      </c>
      <c r="K5" s="273" t="s">
        <v>1181</v>
      </c>
      <c r="L5" s="273" t="s">
        <v>886</v>
      </c>
      <c r="M5" s="273">
        <v>9.5</v>
      </c>
      <c r="N5" s="273">
        <v>9.9</v>
      </c>
      <c r="O5" s="273">
        <v>94.05</v>
      </c>
      <c r="P5" s="273">
        <v>1.5</v>
      </c>
      <c r="Q5" s="273">
        <v>1</v>
      </c>
      <c r="R5" s="273">
        <v>2.5</v>
      </c>
      <c r="S5" s="273">
        <v>1.5</v>
      </c>
      <c r="T5" s="273">
        <v>37.619999999999997</v>
      </c>
      <c r="U5" s="273">
        <v>62.7</v>
      </c>
      <c r="V5" s="273">
        <v>0.6</v>
      </c>
      <c r="W5" s="274" t="s">
        <v>1182</v>
      </c>
      <c r="X5" s="273" t="s">
        <v>371</v>
      </c>
      <c r="Y5" s="273" t="s">
        <v>371</v>
      </c>
      <c r="Z5" s="273" t="s">
        <v>371</v>
      </c>
      <c r="AA5" s="273" t="s">
        <v>371</v>
      </c>
      <c r="AB5" s="273">
        <v>0.95</v>
      </c>
      <c r="AC5" s="273">
        <v>0.99</v>
      </c>
      <c r="AD5" s="273">
        <v>0.15</v>
      </c>
      <c r="AE5" s="273">
        <v>0.9405</v>
      </c>
      <c r="AF5" s="273">
        <v>0.1</v>
      </c>
      <c r="AG5" s="273">
        <v>6.27</v>
      </c>
      <c r="AH5" s="273" t="s">
        <v>1116</v>
      </c>
      <c r="AI5" s="274" t="s">
        <v>1183</v>
      </c>
    </row>
    <row r="6" spans="1:35" ht="15.95" customHeight="1" x14ac:dyDescent="0.2">
      <c r="A6" s="275">
        <v>2</v>
      </c>
      <c r="B6" s="275" t="s">
        <v>1180</v>
      </c>
      <c r="C6" s="275">
        <v>2</v>
      </c>
      <c r="D6" s="275" t="s">
        <v>889</v>
      </c>
      <c r="E6" s="275" t="s">
        <v>1184</v>
      </c>
      <c r="F6" s="275" t="s">
        <v>880</v>
      </c>
      <c r="G6" s="275" t="s">
        <v>881</v>
      </c>
      <c r="H6" s="275" t="s">
        <v>882</v>
      </c>
      <c r="I6" s="275" t="s">
        <v>883</v>
      </c>
      <c r="J6" s="275" t="s">
        <v>884</v>
      </c>
      <c r="K6" s="275" t="s">
        <v>1185</v>
      </c>
      <c r="L6" s="275" t="s">
        <v>892</v>
      </c>
      <c r="M6" s="275">
        <v>7</v>
      </c>
      <c r="N6" s="275">
        <v>8.5</v>
      </c>
      <c r="O6" s="275">
        <v>59.5</v>
      </c>
      <c r="P6" s="275">
        <v>3.5</v>
      </c>
      <c r="Q6" s="275">
        <v>2.5</v>
      </c>
      <c r="R6" s="275">
        <v>6</v>
      </c>
      <c r="S6" s="275">
        <v>8.75</v>
      </c>
      <c r="T6" s="275">
        <v>9.9167000000000005</v>
      </c>
      <c r="U6" s="275">
        <v>6.8</v>
      </c>
      <c r="V6" s="275">
        <v>1.4582999999999999</v>
      </c>
      <c r="W6" s="274" t="s">
        <v>1182</v>
      </c>
      <c r="X6" s="275" t="s">
        <v>371</v>
      </c>
      <c r="Y6" s="275" t="s">
        <v>371</v>
      </c>
      <c r="Z6" s="275" t="s">
        <v>371</v>
      </c>
      <c r="AA6" s="275" t="s">
        <v>371</v>
      </c>
      <c r="AB6" s="275">
        <v>0.7</v>
      </c>
      <c r="AC6" s="275">
        <v>0.85</v>
      </c>
      <c r="AD6" s="275">
        <v>0.35</v>
      </c>
      <c r="AE6" s="275">
        <v>0.59499999999999997</v>
      </c>
      <c r="AF6" s="275">
        <v>0.25</v>
      </c>
      <c r="AG6" s="275">
        <v>1.7</v>
      </c>
      <c r="AH6" s="275" t="s">
        <v>1109</v>
      </c>
      <c r="AI6" s="276" t="s">
        <v>1186</v>
      </c>
    </row>
    <row r="7" spans="1:35" ht="15.95" customHeight="1" x14ac:dyDescent="0.2">
      <c r="A7" s="273">
        <v>3</v>
      </c>
      <c r="B7" s="273" t="s">
        <v>1180</v>
      </c>
      <c r="C7" s="273">
        <v>3</v>
      </c>
      <c r="D7" s="273" t="s">
        <v>1187</v>
      </c>
      <c r="E7" s="273" t="s">
        <v>898</v>
      </c>
      <c r="F7" s="273" t="s">
        <v>899</v>
      </c>
      <c r="G7" s="273" t="s">
        <v>1188</v>
      </c>
      <c r="H7" s="273" t="s">
        <v>901</v>
      </c>
      <c r="I7" s="273" t="s">
        <v>1189</v>
      </c>
      <c r="J7" s="273" t="s">
        <v>884</v>
      </c>
      <c r="K7" s="273" t="s">
        <v>1190</v>
      </c>
      <c r="L7" s="273" t="s">
        <v>905</v>
      </c>
      <c r="M7" s="273">
        <v>6.5</v>
      </c>
      <c r="N7" s="273">
        <v>9.5</v>
      </c>
      <c r="O7" s="273">
        <v>61.75</v>
      </c>
      <c r="P7" s="273">
        <v>2.5</v>
      </c>
      <c r="Q7" s="273">
        <v>2</v>
      </c>
      <c r="R7" s="273">
        <v>4.5</v>
      </c>
      <c r="S7" s="273">
        <v>5</v>
      </c>
      <c r="T7" s="273">
        <v>13.722200000000001</v>
      </c>
      <c r="U7" s="273">
        <v>12.35</v>
      </c>
      <c r="V7" s="273">
        <v>1.1111</v>
      </c>
      <c r="W7" s="274" t="s">
        <v>1182</v>
      </c>
      <c r="X7" s="273" t="s">
        <v>371</v>
      </c>
      <c r="Y7" s="273" t="s">
        <v>371</v>
      </c>
      <c r="Z7" s="273" t="s">
        <v>371</v>
      </c>
      <c r="AA7" s="273" t="s">
        <v>371</v>
      </c>
      <c r="AB7" s="273">
        <v>0.65</v>
      </c>
      <c r="AC7" s="273">
        <v>0.95</v>
      </c>
      <c r="AD7" s="273">
        <v>0.25</v>
      </c>
      <c r="AE7" s="273">
        <v>0.61750000000000005</v>
      </c>
      <c r="AF7" s="273">
        <v>0.2</v>
      </c>
      <c r="AG7" s="273">
        <v>2.4700000000000002</v>
      </c>
      <c r="AH7" s="273" t="s">
        <v>1116</v>
      </c>
      <c r="AI7" s="274" t="s">
        <v>1191</v>
      </c>
    </row>
    <row r="8" spans="1:35" ht="15.95" customHeight="1" x14ac:dyDescent="0.2">
      <c r="A8" s="275">
        <v>4</v>
      </c>
      <c r="B8" s="275" t="s">
        <v>1180</v>
      </c>
      <c r="C8" s="275">
        <v>4</v>
      </c>
      <c r="D8" s="275" t="s">
        <v>1192</v>
      </c>
      <c r="E8" s="275" t="s">
        <v>1193</v>
      </c>
      <c r="F8" s="275" t="s">
        <v>939</v>
      </c>
      <c r="G8" s="275" t="s">
        <v>1194</v>
      </c>
      <c r="H8" s="275" t="s">
        <v>901</v>
      </c>
      <c r="I8" s="275" t="s">
        <v>1189</v>
      </c>
      <c r="J8" s="275" t="s">
        <v>903</v>
      </c>
      <c r="K8" s="275" t="s">
        <v>1195</v>
      </c>
      <c r="L8" s="275" t="s">
        <v>1196</v>
      </c>
      <c r="M8" s="275">
        <v>7.5</v>
      </c>
      <c r="N8" s="275">
        <v>3</v>
      </c>
      <c r="O8" s="275">
        <v>22.5</v>
      </c>
      <c r="P8" s="275">
        <v>4.5</v>
      </c>
      <c r="Q8" s="275">
        <v>4</v>
      </c>
      <c r="R8" s="275">
        <v>8.5</v>
      </c>
      <c r="S8" s="275">
        <v>18</v>
      </c>
      <c r="T8" s="275">
        <v>2.6471</v>
      </c>
      <c r="U8" s="275">
        <v>1.25</v>
      </c>
      <c r="V8" s="275">
        <v>2.1177000000000001</v>
      </c>
      <c r="W8" s="277" t="s">
        <v>1197</v>
      </c>
      <c r="X8" s="275" t="s">
        <v>371</v>
      </c>
      <c r="Y8" s="275" t="s">
        <v>371</v>
      </c>
      <c r="Z8" s="275" t="s">
        <v>371</v>
      </c>
      <c r="AA8" s="275" t="s">
        <v>371</v>
      </c>
      <c r="AB8" s="275">
        <v>0.75</v>
      </c>
      <c r="AC8" s="275">
        <v>0.3</v>
      </c>
      <c r="AD8" s="275">
        <v>0.45</v>
      </c>
      <c r="AE8" s="275">
        <v>0.22500000000000001</v>
      </c>
      <c r="AF8" s="275">
        <v>0.4</v>
      </c>
      <c r="AG8" s="275">
        <v>0.5</v>
      </c>
      <c r="AH8" s="275" t="s">
        <v>1128</v>
      </c>
      <c r="AI8" s="277" t="s">
        <v>1198</v>
      </c>
    </row>
    <row r="9" spans="1:35" ht="15.95" customHeight="1" x14ac:dyDescent="0.2">
      <c r="A9" s="273">
        <v>5</v>
      </c>
      <c r="B9" s="273" t="s">
        <v>1180</v>
      </c>
      <c r="C9" s="273">
        <v>5</v>
      </c>
      <c r="D9" s="273" t="s">
        <v>1199</v>
      </c>
      <c r="E9" s="273" t="s">
        <v>916</v>
      </c>
      <c r="F9" s="273" t="s">
        <v>899</v>
      </c>
      <c r="G9" s="273" t="s">
        <v>1200</v>
      </c>
      <c r="H9" s="273" t="s">
        <v>1201</v>
      </c>
      <c r="I9" s="273" t="s">
        <v>1202</v>
      </c>
      <c r="J9" s="273" t="s">
        <v>1203</v>
      </c>
      <c r="K9" s="273" t="s">
        <v>1204</v>
      </c>
      <c r="L9" s="273" t="s">
        <v>975</v>
      </c>
      <c r="M9" s="273">
        <v>6.5</v>
      </c>
      <c r="N9" s="273">
        <v>8</v>
      </c>
      <c r="O9" s="273">
        <v>52</v>
      </c>
      <c r="P9" s="273">
        <v>3.5</v>
      </c>
      <c r="Q9" s="273">
        <v>3</v>
      </c>
      <c r="R9" s="273">
        <v>6.5</v>
      </c>
      <c r="S9" s="273">
        <v>10.5</v>
      </c>
      <c r="T9" s="273">
        <v>8</v>
      </c>
      <c r="U9" s="273">
        <v>4.9523999999999999</v>
      </c>
      <c r="V9" s="273">
        <v>1.6153999999999999</v>
      </c>
      <c r="W9" s="274" t="s">
        <v>1182</v>
      </c>
      <c r="X9" s="273" t="s">
        <v>371</v>
      </c>
      <c r="Y9" s="273" t="s">
        <v>371</v>
      </c>
      <c r="Z9" s="273" t="s">
        <v>371</v>
      </c>
      <c r="AA9" s="273" t="s">
        <v>371</v>
      </c>
      <c r="AB9" s="273">
        <v>0.65</v>
      </c>
      <c r="AC9" s="273">
        <v>0.8</v>
      </c>
      <c r="AD9" s="273">
        <v>0.35</v>
      </c>
      <c r="AE9" s="273">
        <v>0.52</v>
      </c>
      <c r="AF9" s="273">
        <v>0.3</v>
      </c>
      <c r="AG9" s="273">
        <v>1.4857</v>
      </c>
      <c r="AH9" s="273" t="s">
        <v>1109</v>
      </c>
      <c r="AI9" s="276" t="s">
        <v>1205</v>
      </c>
    </row>
    <row r="10" spans="1:35" ht="15.95" customHeight="1" x14ac:dyDescent="0.2">
      <c r="A10" s="275">
        <v>6</v>
      </c>
      <c r="B10" s="275" t="s">
        <v>1180</v>
      </c>
      <c r="C10" s="275">
        <v>6</v>
      </c>
      <c r="D10" s="275" t="s">
        <v>1206</v>
      </c>
      <c r="E10" s="275" t="s">
        <v>1207</v>
      </c>
      <c r="F10" s="275" t="s">
        <v>899</v>
      </c>
      <c r="G10" s="275" t="s">
        <v>1208</v>
      </c>
      <c r="H10" s="275" t="s">
        <v>1130</v>
      </c>
      <c r="I10" s="275" t="s">
        <v>1202</v>
      </c>
      <c r="J10" s="275" t="s">
        <v>929</v>
      </c>
      <c r="K10" s="275" t="s">
        <v>1209</v>
      </c>
      <c r="L10" s="275" t="s">
        <v>931</v>
      </c>
      <c r="M10" s="275">
        <v>7</v>
      </c>
      <c r="N10" s="275">
        <v>9.5</v>
      </c>
      <c r="O10" s="275">
        <v>66.5</v>
      </c>
      <c r="P10" s="275">
        <v>5</v>
      </c>
      <c r="Q10" s="275">
        <v>4.5</v>
      </c>
      <c r="R10" s="275">
        <v>9.5</v>
      </c>
      <c r="S10" s="275">
        <v>22.5</v>
      </c>
      <c r="T10" s="275">
        <v>7</v>
      </c>
      <c r="U10" s="275">
        <v>2.9556</v>
      </c>
      <c r="V10" s="275">
        <v>2.3683999999999998</v>
      </c>
      <c r="W10" s="277" t="s">
        <v>1197</v>
      </c>
      <c r="X10" s="275" t="s">
        <v>371</v>
      </c>
      <c r="Y10" s="275" t="s">
        <v>371</v>
      </c>
      <c r="Z10" s="275" t="s">
        <v>371</v>
      </c>
      <c r="AA10" s="275" t="s">
        <v>371</v>
      </c>
      <c r="AB10" s="275">
        <v>0.7</v>
      </c>
      <c r="AC10" s="275">
        <v>0.95</v>
      </c>
      <c r="AD10" s="275">
        <v>0.5</v>
      </c>
      <c r="AE10" s="275">
        <v>0.66500000000000004</v>
      </c>
      <c r="AF10" s="275">
        <v>0.45</v>
      </c>
      <c r="AG10" s="275">
        <v>1.33</v>
      </c>
      <c r="AH10" s="275" t="s">
        <v>1109</v>
      </c>
      <c r="AI10" s="276" t="s">
        <v>1210</v>
      </c>
    </row>
    <row r="11" spans="1:35" ht="15.95" customHeight="1" x14ac:dyDescent="0.2">
      <c r="A11" s="273">
        <v>7</v>
      </c>
      <c r="B11" s="273" t="s">
        <v>1180</v>
      </c>
      <c r="C11" s="273">
        <v>7</v>
      </c>
      <c r="D11" s="273" t="s">
        <v>1211</v>
      </c>
      <c r="E11" s="273" t="s">
        <v>934</v>
      </c>
      <c r="F11" s="273" t="s">
        <v>899</v>
      </c>
      <c r="G11" s="273" t="s">
        <v>1200</v>
      </c>
      <c r="H11" s="273" t="s">
        <v>1212</v>
      </c>
      <c r="I11" s="273" t="s">
        <v>1202</v>
      </c>
      <c r="J11" s="273" t="s">
        <v>903</v>
      </c>
      <c r="K11" s="273" t="s">
        <v>1213</v>
      </c>
      <c r="L11" s="273" t="s">
        <v>905</v>
      </c>
      <c r="M11" s="273">
        <v>7.5</v>
      </c>
      <c r="N11" s="273">
        <v>9</v>
      </c>
      <c r="O11" s="273">
        <v>67.5</v>
      </c>
      <c r="P11" s="273">
        <v>4</v>
      </c>
      <c r="Q11" s="273">
        <v>3.5</v>
      </c>
      <c r="R11" s="273">
        <v>7.5</v>
      </c>
      <c r="S11" s="273">
        <v>14</v>
      </c>
      <c r="T11" s="273">
        <v>9</v>
      </c>
      <c r="U11" s="273">
        <v>4.8213999999999997</v>
      </c>
      <c r="V11" s="273">
        <v>1.8667</v>
      </c>
      <c r="W11" s="274" t="s">
        <v>1182</v>
      </c>
      <c r="X11" s="273" t="s">
        <v>371</v>
      </c>
      <c r="Y11" s="273" t="s">
        <v>371</v>
      </c>
      <c r="Z11" s="273" t="s">
        <v>371</v>
      </c>
      <c r="AA11" s="273" t="s">
        <v>371</v>
      </c>
      <c r="AB11" s="273">
        <v>0.75</v>
      </c>
      <c r="AC11" s="273">
        <v>0.9</v>
      </c>
      <c r="AD11" s="273">
        <v>0.4</v>
      </c>
      <c r="AE11" s="273">
        <v>0.67500000000000004</v>
      </c>
      <c r="AF11" s="273">
        <v>0.35</v>
      </c>
      <c r="AG11" s="273">
        <v>1.6875</v>
      </c>
      <c r="AH11" s="273" t="s">
        <v>1109</v>
      </c>
      <c r="AI11" s="276" t="s">
        <v>1214</v>
      </c>
    </row>
    <row r="12" spans="1:35" ht="15.95" customHeight="1" x14ac:dyDescent="0.2">
      <c r="A12" s="275">
        <v>8</v>
      </c>
      <c r="B12" s="275" t="s">
        <v>1180</v>
      </c>
      <c r="C12" s="275">
        <v>8</v>
      </c>
      <c r="D12" s="275" t="s">
        <v>937</v>
      </c>
      <c r="E12" s="275" t="s">
        <v>1215</v>
      </c>
      <c r="F12" s="275" t="s">
        <v>939</v>
      </c>
      <c r="G12" s="275" t="s">
        <v>1200</v>
      </c>
      <c r="H12" s="275" t="s">
        <v>941</v>
      </c>
      <c r="I12" s="275" t="s">
        <v>1202</v>
      </c>
      <c r="J12" s="275" t="s">
        <v>929</v>
      </c>
      <c r="K12" s="275" t="s">
        <v>1216</v>
      </c>
      <c r="L12" s="275" t="s">
        <v>1217</v>
      </c>
      <c r="M12" s="275">
        <v>8.5</v>
      </c>
      <c r="N12" s="275">
        <v>5</v>
      </c>
      <c r="O12" s="275">
        <v>42.5</v>
      </c>
      <c r="P12" s="275">
        <v>4.5</v>
      </c>
      <c r="Q12" s="275">
        <v>3.5</v>
      </c>
      <c r="R12" s="275">
        <v>8</v>
      </c>
      <c r="S12" s="275">
        <v>15.75</v>
      </c>
      <c r="T12" s="275">
        <v>5.3125</v>
      </c>
      <c r="U12" s="275">
        <v>2.6983999999999999</v>
      </c>
      <c r="V12" s="275">
        <v>1.9688000000000001</v>
      </c>
      <c r="W12" s="274" t="s">
        <v>1182</v>
      </c>
      <c r="X12" s="275" t="s">
        <v>371</v>
      </c>
      <c r="Y12" s="275" t="s">
        <v>371</v>
      </c>
      <c r="Z12" s="275" t="s">
        <v>371</v>
      </c>
      <c r="AA12" s="275" t="s">
        <v>371</v>
      </c>
      <c r="AB12" s="275">
        <v>0.85</v>
      </c>
      <c r="AC12" s="275">
        <v>0.5</v>
      </c>
      <c r="AD12" s="275">
        <v>0.45</v>
      </c>
      <c r="AE12" s="275">
        <v>0.42499999999999999</v>
      </c>
      <c r="AF12" s="275">
        <v>0.35</v>
      </c>
      <c r="AG12" s="275">
        <v>0.94440000000000002</v>
      </c>
      <c r="AH12" s="275" t="s">
        <v>1128</v>
      </c>
      <c r="AI12" s="277" t="s">
        <v>1214</v>
      </c>
    </row>
    <row r="13" spans="1:35" ht="15.95" customHeight="1" x14ac:dyDescent="0.2">
      <c r="A13" s="273">
        <v>9</v>
      </c>
      <c r="B13" s="273" t="s">
        <v>1180</v>
      </c>
      <c r="C13" s="273">
        <v>9</v>
      </c>
      <c r="D13" s="273" t="s">
        <v>1218</v>
      </c>
      <c r="E13" s="273" t="s">
        <v>947</v>
      </c>
      <c r="F13" s="273" t="s">
        <v>880</v>
      </c>
      <c r="G13" s="273" t="s">
        <v>1188</v>
      </c>
      <c r="H13" s="273" t="s">
        <v>1219</v>
      </c>
      <c r="I13" s="273" t="s">
        <v>1220</v>
      </c>
      <c r="J13" s="273" t="s">
        <v>929</v>
      </c>
      <c r="K13" s="273" t="s">
        <v>1221</v>
      </c>
      <c r="L13" s="273" t="s">
        <v>1222</v>
      </c>
      <c r="M13" s="273">
        <v>8.5</v>
      </c>
      <c r="N13" s="273">
        <v>8.5</v>
      </c>
      <c r="O13" s="273">
        <v>72.25</v>
      </c>
      <c r="P13" s="273">
        <v>5</v>
      </c>
      <c r="Q13" s="273">
        <v>4.5</v>
      </c>
      <c r="R13" s="273">
        <v>9.5</v>
      </c>
      <c r="S13" s="273">
        <v>22.5</v>
      </c>
      <c r="T13" s="273">
        <v>7.6052999999999997</v>
      </c>
      <c r="U13" s="273">
        <v>3.2111000000000001</v>
      </c>
      <c r="V13" s="273">
        <v>2.3683999999999998</v>
      </c>
      <c r="W13" s="277" t="s">
        <v>1197</v>
      </c>
      <c r="X13" s="273" t="s">
        <v>371</v>
      </c>
      <c r="Y13" s="273" t="s">
        <v>371</v>
      </c>
      <c r="Z13" s="273" t="s">
        <v>371</v>
      </c>
      <c r="AA13" s="273" t="s">
        <v>371</v>
      </c>
      <c r="AB13" s="273">
        <v>0.85</v>
      </c>
      <c r="AC13" s="273">
        <v>0.85</v>
      </c>
      <c r="AD13" s="273">
        <v>0.5</v>
      </c>
      <c r="AE13" s="273">
        <v>0.72250000000000003</v>
      </c>
      <c r="AF13" s="273">
        <v>0.45</v>
      </c>
      <c r="AG13" s="273">
        <v>1.4450000000000001</v>
      </c>
      <c r="AH13" s="273" t="s">
        <v>1109</v>
      </c>
      <c r="AI13" s="276" t="s">
        <v>1210</v>
      </c>
    </row>
    <row r="14" spans="1:35" ht="15.95" customHeight="1" x14ac:dyDescent="0.2">
      <c r="A14" s="275">
        <v>10</v>
      </c>
      <c r="B14" s="275" t="s">
        <v>1180</v>
      </c>
      <c r="C14" s="275">
        <v>10</v>
      </c>
      <c r="D14" s="275" t="s">
        <v>937</v>
      </c>
      <c r="E14" s="275" t="s">
        <v>952</v>
      </c>
      <c r="F14" s="275" t="s">
        <v>939</v>
      </c>
      <c r="G14" s="275" t="s">
        <v>1200</v>
      </c>
      <c r="H14" s="275" t="s">
        <v>919</v>
      </c>
      <c r="I14" s="275" t="s">
        <v>1202</v>
      </c>
      <c r="J14" s="275" t="s">
        <v>1203</v>
      </c>
      <c r="K14" s="275" t="s">
        <v>1216</v>
      </c>
      <c r="L14" s="275" t="s">
        <v>1223</v>
      </c>
      <c r="M14" s="275">
        <v>8</v>
      </c>
      <c r="N14" s="275">
        <v>4.5</v>
      </c>
      <c r="O14" s="275">
        <v>36</v>
      </c>
      <c r="P14" s="275">
        <v>4</v>
      </c>
      <c r="Q14" s="275">
        <v>3.5</v>
      </c>
      <c r="R14" s="275">
        <v>7.5</v>
      </c>
      <c r="S14" s="275">
        <v>14</v>
      </c>
      <c r="T14" s="275">
        <v>4.8</v>
      </c>
      <c r="U14" s="275">
        <v>2.5714000000000001</v>
      </c>
      <c r="V14" s="275">
        <v>1.8667</v>
      </c>
      <c r="W14" s="274" t="s">
        <v>1182</v>
      </c>
      <c r="X14" s="275" t="s">
        <v>371</v>
      </c>
      <c r="Y14" s="275" t="s">
        <v>371</v>
      </c>
      <c r="Z14" s="275" t="s">
        <v>371</v>
      </c>
      <c r="AA14" s="275" t="s">
        <v>371</v>
      </c>
      <c r="AB14" s="275">
        <v>0.8</v>
      </c>
      <c r="AC14" s="275">
        <v>0.45</v>
      </c>
      <c r="AD14" s="275">
        <v>0.4</v>
      </c>
      <c r="AE14" s="275">
        <v>0.36</v>
      </c>
      <c r="AF14" s="275">
        <v>0.35</v>
      </c>
      <c r="AG14" s="275">
        <v>0.9</v>
      </c>
      <c r="AH14" s="275" t="s">
        <v>1128</v>
      </c>
      <c r="AI14" s="277" t="s">
        <v>1214</v>
      </c>
    </row>
    <row r="15" spans="1:35" ht="15.95" customHeight="1" x14ac:dyDescent="0.2">
      <c r="A15" s="273">
        <v>11</v>
      </c>
      <c r="B15" s="273" t="s">
        <v>1180</v>
      </c>
      <c r="C15" s="273">
        <v>11</v>
      </c>
      <c r="D15" s="273" t="s">
        <v>1224</v>
      </c>
      <c r="E15" s="273" t="s">
        <v>956</v>
      </c>
      <c r="F15" s="273" t="s">
        <v>880</v>
      </c>
      <c r="G15" s="273" t="s">
        <v>1200</v>
      </c>
      <c r="H15" s="273" t="s">
        <v>1225</v>
      </c>
      <c r="I15" s="273" t="s">
        <v>1220</v>
      </c>
      <c r="J15" s="273" t="s">
        <v>929</v>
      </c>
      <c r="K15" s="273" t="s">
        <v>1226</v>
      </c>
      <c r="L15" s="273" t="s">
        <v>912</v>
      </c>
      <c r="M15" s="273">
        <v>8</v>
      </c>
      <c r="N15" s="273">
        <v>4</v>
      </c>
      <c r="O15" s="273">
        <v>32</v>
      </c>
      <c r="P15" s="273">
        <v>5.5</v>
      </c>
      <c r="Q15" s="273">
        <v>4</v>
      </c>
      <c r="R15" s="273">
        <v>9.5</v>
      </c>
      <c r="S15" s="273">
        <v>22</v>
      </c>
      <c r="T15" s="273">
        <v>3.3683999999999998</v>
      </c>
      <c r="U15" s="273">
        <v>1.4544999999999999</v>
      </c>
      <c r="V15" s="273">
        <v>2.3157999999999999</v>
      </c>
      <c r="W15" s="277" t="s">
        <v>1197</v>
      </c>
      <c r="X15" s="273" t="s">
        <v>371</v>
      </c>
      <c r="Y15" s="273" t="s">
        <v>371</v>
      </c>
      <c r="Z15" s="273" t="s">
        <v>371</v>
      </c>
      <c r="AA15" s="273" t="s">
        <v>371</v>
      </c>
      <c r="AB15" s="273">
        <v>0.8</v>
      </c>
      <c r="AC15" s="273">
        <v>0.4</v>
      </c>
      <c r="AD15" s="273">
        <v>0.55000000000000004</v>
      </c>
      <c r="AE15" s="273">
        <v>0.32</v>
      </c>
      <c r="AF15" s="273">
        <v>0.4</v>
      </c>
      <c r="AG15" s="273">
        <v>0.58179999999999998</v>
      </c>
      <c r="AH15" s="273" t="s">
        <v>1128</v>
      </c>
      <c r="AI15" s="277" t="s">
        <v>1198</v>
      </c>
    </row>
    <row r="16" spans="1:35" ht="15.95" customHeight="1" x14ac:dyDescent="0.2">
      <c r="A16" s="275">
        <v>12</v>
      </c>
      <c r="B16" s="275" t="s">
        <v>1180</v>
      </c>
      <c r="C16" s="275">
        <v>12</v>
      </c>
      <c r="D16" s="275" t="s">
        <v>960</v>
      </c>
      <c r="E16" s="275" t="s">
        <v>961</v>
      </c>
      <c r="F16" s="275" t="s">
        <v>880</v>
      </c>
      <c r="G16" s="275" t="s">
        <v>1227</v>
      </c>
      <c r="H16" s="275" t="s">
        <v>962</v>
      </c>
      <c r="I16" s="275" t="s">
        <v>1220</v>
      </c>
      <c r="J16" s="275" t="s">
        <v>929</v>
      </c>
      <c r="K16" s="275" t="s">
        <v>1228</v>
      </c>
      <c r="L16" s="275" t="s">
        <v>1222</v>
      </c>
      <c r="M16" s="275">
        <v>8.5</v>
      </c>
      <c r="N16" s="275">
        <v>2.5</v>
      </c>
      <c r="O16" s="275">
        <v>21.25</v>
      </c>
      <c r="P16" s="275">
        <v>3.5</v>
      </c>
      <c r="Q16" s="275">
        <v>4.5</v>
      </c>
      <c r="R16" s="275">
        <v>8</v>
      </c>
      <c r="S16" s="275">
        <v>15.75</v>
      </c>
      <c r="T16" s="275">
        <v>2.6562000000000001</v>
      </c>
      <c r="U16" s="275">
        <v>1.3492</v>
      </c>
      <c r="V16" s="275">
        <v>1.9686999999999999</v>
      </c>
      <c r="W16" s="274" t="s">
        <v>1182</v>
      </c>
      <c r="X16" s="275" t="s">
        <v>371</v>
      </c>
      <c r="Y16" s="275" t="s">
        <v>371</v>
      </c>
      <c r="Z16" s="275" t="s">
        <v>371</v>
      </c>
      <c r="AA16" s="275" t="s">
        <v>371</v>
      </c>
      <c r="AB16" s="275">
        <v>0.85</v>
      </c>
      <c r="AC16" s="275">
        <v>0.25</v>
      </c>
      <c r="AD16" s="275">
        <v>0.35</v>
      </c>
      <c r="AE16" s="275">
        <v>0.21249999999999999</v>
      </c>
      <c r="AF16" s="275">
        <v>0.45</v>
      </c>
      <c r="AG16" s="275">
        <v>0.60709999999999997</v>
      </c>
      <c r="AH16" s="275" t="s">
        <v>1128</v>
      </c>
      <c r="AI16" s="277" t="s">
        <v>1210</v>
      </c>
    </row>
    <row r="17" spans="1:35" ht="15.95" customHeight="1" x14ac:dyDescent="0.2">
      <c r="A17" s="273">
        <v>13</v>
      </c>
      <c r="B17" s="273" t="s">
        <v>1180</v>
      </c>
      <c r="C17" s="273">
        <v>13</v>
      </c>
      <c r="D17" s="273" t="s">
        <v>1229</v>
      </c>
      <c r="E17" s="273" t="s">
        <v>1230</v>
      </c>
      <c r="F17" s="273" t="s">
        <v>880</v>
      </c>
      <c r="G17" s="273" t="s">
        <v>1231</v>
      </c>
      <c r="H17" s="273" t="s">
        <v>1232</v>
      </c>
      <c r="I17" s="273" t="s">
        <v>1220</v>
      </c>
      <c r="J17" s="273" t="s">
        <v>903</v>
      </c>
      <c r="K17" s="273" t="s">
        <v>1233</v>
      </c>
      <c r="L17" s="273" t="s">
        <v>1234</v>
      </c>
      <c r="M17" s="273">
        <v>9</v>
      </c>
      <c r="N17" s="273">
        <v>4</v>
      </c>
      <c r="O17" s="273">
        <v>36</v>
      </c>
      <c r="P17" s="273">
        <v>5</v>
      </c>
      <c r="Q17" s="273">
        <v>5.5</v>
      </c>
      <c r="R17" s="273">
        <v>10.5</v>
      </c>
      <c r="S17" s="273">
        <v>27.5</v>
      </c>
      <c r="T17" s="273">
        <v>3.4285999999999999</v>
      </c>
      <c r="U17" s="273">
        <v>1.3090999999999999</v>
      </c>
      <c r="V17" s="273">
        <v>2.6191</v>
      </c>
      <c r="W17" s="277" t="s">
        <v>1197</v>
      </c>
      <c r="X17" s="273" t="s">
        <v>371</v>
      </c>
      <c r="Y17" s="273" t="s">
        <v>371</v>
      </c>
      <c r="Z17" s="273" t="s">
        <v>371</v>
      </c>
      <c r="AA17" s="273" t="s">
        <v>371</v>
      </c>
      <c r="AB17" s="273">
        <v>0.9</v>
      </c>
      <c r="AC17" s="273">
        <v>0.4</v>
      </c>
      <c r="AD17" s="273">
        <v>0.5</v>
      </c>
      <c r="AE17" s="273">
        <v>0.36</v>
      </c>
      <c r="AF17" s="273">
        <v>0.55000000000000004</v>
      </c>
      <c r="AG17" s="273">
        <v>0.72</v>
      </c>
      <c r="AH17" s="273" t="s">
        <v>1128</v>
      </c>
      <c r="AI17" s="277" t="s">
        <v>1235</v>
      </c>
    </row>
    <row r="18" spans="1:35" ht="15.95" customHeight="1" x14ac:dyDescent="0.2">
      <c r="A18" s="275">
        <v>14</v>
      </c>
      <c r="B18" s="275" t="s">
        <v>1180</v>
      </c>
      <c r="C18" s="275">
        <v>14</v>
      </c>
      <c r="D18" s="275" t="s">
        <v>1236</v>
      </c>
      <c r="E18" s="275" t="s">
        <v>971</v>
      </c>
      <c r="F18" s="275" t="s">
        <v>939</v>
      </c>
      <c r="G18" s="275" t="s">
        <v>1237</v>
      </c>
      <c r="H18" s="275" t="s">
        <v>972</v>
      </c>
      <c r="I18" s="275" t="s">
        <v>1220</v>
      </c>
      <c r="J18" s="275" t="s">
        <v>903</v>
      </c>
      <c r="K18" s="275" t="s">
        <v>1238</v>
      </c>
      <c r="L18" s="275" t="s">
        <v>1239</v>
      </c>
      <c r="M18" s="275">
        <v>8.5</v>
      </c>
      <c r="N18" s="275">
        <v>5.5</v>
      </c>
      <c r="O18" s="275">
        <v>46.75</v>
      </c>
      <c r="P18" s="275">
        <v>5.5</v>
      </c>
      <c r="Q18" s="275">
        <v>5</v>
      </c>
      <c r="R18" s="275">
        <v>10.5</v>
      </c>
      <c r="S18" s="275">
        <v>27.5</v>
      </c>
      <c r="T18" s="275">
        <v>4.4523999999999999</v>
      </c>
      <c r="U18" s="275">
        <v>1.7</v>
      </c>
      <c r="V18" s="275">
        <v>2.6191</v>
      </c>
      <c r="W18" s="277" t="s">
        <v>1197</v>
      </c>
      <c r="X18" s="275" t="s">
        <v>371</v>
      </c>
      <c r="Y18" s="275" t="s">
        <v>371</v>
      </c>
      <c r="Z18" s="275" t="s">
        <v>371</v>
      </c>
      <c r="AA18" s="275" t="s">
        <v>371</v>
      </c>
      <c r="AB18" s="275">
        <v>0.85</v>
      </c>
      <c r="AC18" s="275">
        <v>0.55000000000000004</v>
      </c>
      <c r="AD18" s="275">
        <v>0.55000000000000004</v>
      </c>
      <c r="AE18" s="275">
        <v>0.46750000000000003</v>
      </c>
      <c r="AF18" s="275">
        <v>0.5</v>
      </c>
      <c r="AG18" s="275">
        <v>0.85</v>
      </c>
      <c r="AH18" s="275" t="s">
        <v>1128</v>
      </c>
      <c r="AI18" s="277" t="s">
        <v>1240</v>
      </c>
    </row>
    <row r="19" spans="1:35" ht="15.95" customHeight="1" x14ac:dyDescent="0.2">
      <c r="A19" s="273">
        <v>15</v>
      </c>
      <c r="B19" s="273" t="s">
        <v>1180</v>
      </c>
      <c r="C19" s="273">
        <v>15</v>
      </c>
      <c r="D19" s="273" t="s">
        <v>1241</v>
      </c>
      <c r="E19" s="273" t="s">
        <v>978</v>
      </c>
      <c r="F19" s="273" t="s">
        <v>939</v>
      </c>
      <c r="G19" s="273" t="s">
        <v>1242</v>
      </c>
      <c r="H19" s="273" t="s">
        <v>972</v>
      </c>
      <c r="I19" s="273" t="s">
        <v>1220</v>
      </c>
      <c r="J19" s="273" t="s">
        <v>903</v>
      </c>
      <c r="K19" s="273" t="s">
        <v>1243</v>
      </c>
      <c r="L19" s="273" t="s">
        <v>980</v>
      </c>
      <c r="M19" s="273">
        <v>8</v>
      </c>
      <c r="N19" s="273">
        <v>7</v>
      </c>
      <c r="O19" s="273">
        <v>56</v>
      </c>
      <c r="P19" s="273">
        <v>3.5</v>
      </c>
      <c r="Q19" s="273">
        <v>3</v>
      </c>
      <c r="R19" s="273">
        <v>6.5</v>
      </c>
      <c r="S19" s="273">
        <v>10.5</v>
      </c>
      <c r="T19" s="273">
        <v>8.6153999999999993</v>
      </c>
      <c r="U19" s="273">
        <v>5.3333000000000004</v>
      </c>
      <c r="V19" s="273">
        <v>1.6153999999999999</v>
      </c>
      <c r="W19" s="274" t="s">
        <v>1182</v>
      </c>
      <c r="X19" s="273" t="s">
        <v>371</v>
      </c>
      <c r="Y19" s="273" t="s">
        <v>371</v>
      </c>
      <c r="Z19" s="273" t="s">
        <v>371</v>
      </c>
      <c r="AA19" s="273" t="s">
        <v>371</v>
      </c>
      <c r="AB19" s="273">
        <v>0.8</v>
      </c>
      <c r="AC19" s="273">
        <v>0.7</v>
      </c>
      <c r="AD19" s="273">
        <v>0.35</v>
      </c>
      <c r="AE19" s="273">
        <v>0.56000000000000005</v>
      </c>
      <c r="AF19" s="273">
        <v>0.3</v>
      </c>
      <c r="AG19" s="273">
        <v>1.6</v>
      </c>
      <c r="AH19" s="273" t="s">
        <v>1109</v>
      </c>
      <c r="AI19" s="276" t="s">
        <v>1205</v>
      </c>
    </row>
    <row r="20" spans="1:35" ht="15.95" customHeight="1" x14ac:dyDescent="0.2">
      <c r="A20" s="275">
        <v>16</v>
      </c>
      <c r="B20" s="275" t="s">
        <v>1180</v>
      </c>
      <c r="C20" s="275">
        <v>16</v>
      </c>
      <c r="D20" s="275" t="s">
        <v>1244</v>
      </c>
      <c r="E20" s="275" t="s">
        <v>983</v>
      </c>
      <c r="F20" s="275" t="s">
        <v>939</v>
      </c>
      <c r="G20" s="275" t="s">
        <v>1245</v>
      </c>
      <c r="H20" s="275" t="s">
        <v>984</v>
      </c>
      <c r="I20" s="275" t="s">
        <v>1202</v>
      </c>
      <c r="J20" s="275" t="s">
        <v>903</v>
      </c>
      <c r="K20" s="275" t="s">
        <v>1246</v>
      </c>
      <c r="L20" s="275" t="s">
        <v>1247</v>
      </c>
      <c r="M20" s="275">
        <v>7.5</v>
      </c>
      <c r="N20" s="275">
        <v>6.5</v>
      </c>
      <c r="O20" s="275">
        <v>48.75</v>
      </c>
      <c r="P20" s="275">
        <v>4</v>
      </c>
      <c r="Q20" s="275">
        <v>3.5</v>
      </c>
      <c r="R20" s="275">
        <v>7.5</v>
      </c>
      <c r="S20" s="275">
        <v>14</v>
      </c>
      <c r="T20" s="275">
        <v>6.5</v>
      </c>
      <c r="U20" s="275">
        <v>3.4821</v>
      </c>
      <c r="V20" s="275">
        <v>1.8667</v>
      </c>
      <c r="W20" s="274" t="s">
        <v>1182</v>
      </c>
      <c r="X20" s="275" t="s">
        <v>371</v>
      </c>
      <c r="Y20" s="275" t="s">
        <v>371</v>
      </c>
      <c r="Z20" s="275" t="s">
        <v>371</v>
      </c>
      <c r="AA20" s="275" t="s">
        <v>371</v>
      </c>
      <c r="AB20" s="275">
        <v>0.75</v>
      </c>
      <c r="AC20" s="275">
        <v>0.65</v>
      </c>
      <c r="AD20" s="275">
        <v>0.4</v>
      </c>
      <c r="AE20" s="275">
        <v>0.48749999999999999</v>
      </c>
      <c r="AF20" s="275">
        <v>0.35</v>
      </c>
      <c r="AG20" s="275">
        <v>1.2188000000000001</v>
      </c>
      <c r="AH20" s="275" t="s">
        <v>1109</v>
      </c>
      <c r="AI20" s="276" t="s">
        <v>1214</v>
      </c>
    </row>
    <row r="21" spans="1:35" ht="15.95" customHeight="1" x14ac:dyDescent="0.2">
      <c r="A21" s="273">
        <v>17</v>
      </c>
      <c r="B21" s="273" t="s">
        <v>1180</v>
      </c>
      <c r="C21" s="273">
        <v>17</v>
      </c>
      <c r="D21" s="273" t="s">
        <v>1248</v>
      </c>
      <c r="E21" s="273" t="s">
        <v>989</v>
      </c>
      <c r="F21" s="273" t="s">
        <v>939</v>
      </c>
      <c r="G21" s="273" t="s">
        <v>1200</v>
      </c>
      <c r="H21" s="273" t="s">
        <v>1249</v>
      </c>
      <c r="I21" s="273" t="s">
        <v>1202</v>
      </c>
      <c r="J21" s="273" t="s">
        <v>921</v>
      </c>
      <c r="K21" s="273" t="s">
        <v>1250</v>
      </c>
      <c r="L21" s="273" t="s">
        <v>1251</v>
      </c>
      <c r="M21" s="273">
        <v>7</v>
      </c>
      <c r="N21" s="273">
        <v>7.5</v>
      </c>
      <c r="O21" s="273">
        <v>52.5</v>
      </c>
      <c r="P21" s="273">
        <v>4.5</v>
      </c>
      <c r="Q21" s="273">
        <v>3.5</v>
      </c>
      <c r="R21" s="273">
        <v>8</v>
      </c>
      <c r="S21" s="273">
        <v>15.75</v>
      </c>
      <c r="T21" s="273">
        <v>6.5625</v>
      </c>
      <c r="U21" s="273">
        <v>3.3332999999999999</v>
      </c>
      <c r="V21" s="273">
        <v>1.9688000000000001</v>
      </c>
      <c r="W21" s="274" t="s">
        <v>1182</v>
      </c>
      <c r="X21" s="273" t="s">
        <v>371</v>
      </c>
      <c r="Y21" s="273" t="s">
        <v>371</v>
      </c>
      <c r="Z21" s="273" t="s">
        <v>371</v>
      </c>
      <c r="AA21" s="273" t="s">
        <v>371</v>
      </c>
      <c r="AB21" s="273">
        <v>0.7</v>
      </c>
      <c r="AC21" s="273">
        <v>0.75</v>
      </c>
      <c r="AD21" s="273">
        <v>0.45</v>
      </c>
      <c r="AE21" s="273">
        <v>0.52500000000000002</v>
      </c>
      <c r="AF21" s="273">
        <v>0.35</v>
      </c>
      <c r="AG21" s="273">
        <v>1.1667000000000001</v>
      </c>
      <c r="AH21" s="273" t="s">
        <v>1109</v>
      </c>
      <c r="AI21" s="276" t="s">
        <v>1214</v>
      </c>
    </row>
    <row r="22" spans="1:35" ht="15.95" customHeight="1" x14ac:dyDescent="0.2">
      <c r="A22" s="275">
        <v>18</v>
      </c>
      <c r="B22" s="275" t="s">
        <v>1180</v>
      </c>
      <c r="C22" s="275">
        <v>18</v>
      </c>
      <c r="D22" s="275" t="s">
        <v>1252</v>
      </c>
      <c r="E22" s="275" t="s">
        <v>995</v>
      </c>
      <c r="F22" s="275" t="s">
        <v>939</v>
      </c>
      <c r="G22" s="275" t="s">
        <v>940</v>
      </c>
      <c r="H22" s="275" t="s">
        <v>1143</v>
      </c>
      <c r="I22" s="275" t="s">
        <v>1220</v>
      </c>
      <c r="J22" s="275" t="s">
        <v>929</v>
      </c>
      <c r="K22" s="275" t="s">
        <v>1253</v>
      </c>
      <c r="L22" s="275" t="s">
        <v>975</v>
      </c>
      <c r="M22" s="275">
        <v>8.5</v>
      </c>
      <c r="N22" s="275">
        <v>7.5</v>
      </c>
      <c r="O22" s="275">
        <v>63.75</v>
      </c>
      <c r="P22" s="275">
        <v>5</v>
      </c>
      <c r="Q22" s="275">
        <v>4</v>
      </c>
      <c r="R22" s="275">
        <v>9</v>
      </c>
      <c r="S22" s="275">
        <v>20</v>
      </c>
      <c r="T22" s="275">
        <v>7.0833000000000004</v>
      </c>
      <c r="U22" s="275">
        <v>3.1875</v>
      </c>
      <c r="V22" s="275">
        <v>2.2222</v>
      </c>
      <c r="W22" s="277" t="s">
        <v>1197</v>
      </c>
      <c r="X22" s="275" t="s">
        <v>371</v>
      </c>
      <c r="Y22" s="275" t="s">
        <v>371</v>
      </c>
      <c r="Z22" s="275" t="s">
        <v>371</v>
      </c>
      <c r="AA22" s="275" t="s">
        <v>371</v>
      </c>
      <c r="AB22" s="275">
        <v>0.85</v>
      </c>
      <c r="AC22" s="275">
        <v>0.75</v>
      </c>
      <c r="AD22" s="275">
        <v>0.5</v>
      </c>
      <c r="AE22" s="275">
        <v>0.63749999999999996</v>
      </c>
      <c r="AF22" s="275">
        <v>0.4</v>
      </c>
      <c r="AG22" s="275">
        <v>1.2749999999999999</v>
      </c>
      <c r="AH22" s="275" t="s">
        <v>1109</v>
      </c>
      <c r="AI22" s="276" t="s">
        <v>1198</v>
      </c>
    </row>
    <row r="23" spans="1:35" ht="15.95" customHeight="1" x14ac:dyDescent="0.2">
      <c r="A23" s="273">
        <v>19</v>
      </c>
      <c r="B23" s="273" t="s">
        <v>1180</v>
      </c>
      <c r="C23" s="273">
        <v>19</v>
      </c>
      <c r="D23" s="273" t="s">
        <v>1254</v>
      </c>
      <c r="E23" s="273" t="s">
        <v>1001</v>
      </c>
      <c r="F23" s="273" t="s">
        <v>899</v>
      </c>
      <c r="G23" s="273" t="s">
        <v>1255</v>
      </c>
      <c r="H23" s="273" t="s">
        <v>1091</v>
      </c>
      <c r="I23" s="273" t="s">
        <v>1256</v>
      </c>
      <c r="J23" s="273" t="s">
        <v>1203</v>
      </c>
      <c r="K23" s="273" t="s">
        <v>1257</v>
      </c>
      <c r="L23" s="273" t="s">
        <v>975</v>
      </c>
      <c r="M23" s="273">
        <v>6.5</v>
      </c>
      <c r="N23" s="273">
        <v>7</v>
      </c>
      <c r="O23" s="273">
        <v>45.5</v>
      </c>
      <c r="P23" s="273">
        <v>4</v>
      </c>
      <c r="Q23" s="273">
        <v>3.5</v>
      </c>
      <c r="R23" s="273">
        <v>7.5</v>
      </c>
      <c r="S23" s="273">
        <v>14</v>
      </c>
      <c r="T23" s="273">
        <v>6.0667</v>
      </c>
      <c r="U23" s="273">
        <v>3.25</v>
      </c>
      <c r="V23" s="273">
        <v>1.8667</v>
      </c>
      <c r="W23" s="274" t="s">
        <v>1182</v>
      </c>
      <c r="X23" s="273" t="s">
        <v>371</v>
      </c>
      <c r="Y23" s="273" t="s">
        <v>371</v>
      </c>
      <c r="Z23" s="273" t="s">
        <v>371</v>
      </c>
      <c r="AA23" s="273" t="s">
        <v>371</v>
      </c>
      <c r="AB23" s="273">
        <v>0.65</v>
      </c>
      <c r="AC23" s="273">
        <v>0.7</v>
      </c>
      <c r="AD23" s="273">
        <v>0.4</v>
      </c>
      <c r="AE23" s="273">
        <v>0.45500000000000002</v>
      </c>
      <c r="AF23" s="273">
        <v>0.35</v>
      </c>
      <c r="AG23" s="273">
        <v>1.1375</v>
      </c>
      <c r="AH23" s="273" t="s">
        <v>1109</v>
      </c>
      <c r="AI23" s="276" t="s">
        <v>1214</v>
      </c>
    </row>
    <row r="24" spans="1:35" ht="15.95" customHeight="1" x14ac:dyDescent="0.2">
      <c r="A24" s="275">
        <v>20</v>
      </c>
      <c r="B24" s="275" t="s">
        <v>1180</v>
      </c>
      <c r="C24" s="275">
        <v>20</v>
      </c>
      <c r="D24" s="275" t="s">
        <v>1258</v>
      </c>
      <c r="E24" s="275" t="s">
        <v>1008</v>
      </c>
      <c r="F24" s="275" t="s">
        <v>939</v>
      </c>
      <c r="G24" s="275" t="s">
        <v>1245</v>
      </c>
      <c r="H24" s="275" t="s">
        <v>941</v>
      </c>
      <c r="I24" s="275" t="s">
        <v>1202</v>
      </c>
      <c r="J24" s="275" t="s">
        <v>903</v>
      </c>
      <c r="K24" s="275" t="s">
        <v>1259</v>
      </c>
      <c r="L24" s="275" t="s">
        <v>1251</v>
      </c>
      <c r="M24" s="275">
        <v>8</v>
      </c>
      <c r="N24" s="275">
        <v>7</v>
      </c>
      <c r="O24" s="275">
        <v>56</v>
      </c>
      <c r="P24" s="275">
        <v>4.5</v>
      </c>
      <c r="Q24" s="275">
        <v>3.5</v>
      </c>
      <c r="R24" s="275">
        <v>8</v>
      </c>
      <c r="S24" s="275">
        <v>15.75</v>
      </c>
      <c r="T24" s="275">
        <v>7</v>
      </c>
      <c r="U24" s="275">
        <v>3.5556000000000001</v>
      </c>
      <c r="V24" s="275">
        <v>1.9686999999999999</v>
      </c>
      <c r="W24" s="274" t="s">
        <v>1182</v>
      </c>
      <c r="X24" s="275" t="s">
        <v>371</v>
      </c>
      <c r="Y24" s="275" t="s">
        <v>371</v>
      </c>
      <c r="Z24" s="275" t="s">
        <v>371</v>
      </c>
      <c r="AA24" s="275" t="s">
        <v>371</v>
      </c>
      <c r="AB24" s="275">
        <v>0.8</v>
      </c>
      <c r="AC24" s="275">
        <v>0.7</v>
      </c>
      <c r="AD24" s="275">
        <v>0.45</v>
      </c>
      <c r="AE24" s="275">
        <v>0.56000000000000005</v>
      </c>
      <c r="AF24" s="275">
        <v>0.35</v>
      </c>
      <c r="AG24" s="275">
        <v>1.2444</v>
      </c>
      <c r="AH24" s="275" t="s">
        <v>1109</v>
      </c>
      <c r="AI24" s="276" t="s">
        <v>1214</v>
      </c>
    </row>
    <row r="25" spans="1:35" ht="15.95" customHeight="1" x14ac:dyDescent="0.2">
      <c r="A25" s="273">
        <v>21</v>
      </c>
      <c r="B25" s="273" t="s">
        <v>1180</v>
      </c>
      <c r="C25" s="273">
        <v>21</v>
      </c>
      <c r="D25" s="273" t="s">
        <v>1260</v>
      </c>
      <c r="E25" s="273" t="s">
        <v>1013</v>
      </c>
      <c r="F25" s="273" t="s">
        <v>880</v>
      </c>
      <c r="G25" s="273" t="s">
        <v>1261</v>
      </c>
      <c r="H25" s="273" t="s">
        <v>1016</v>
      </c>
      <c r="I25" s="273" t="s">
        <v>1256</v>
      </c>
      <c r="J25" s="273" t="s">
        <v>929</v>
      </c>
      <c r="K25" s="273" t="s">
        <v>1262</v>
      </c>
      <c r="L25" s="273" t="s">
        <v>980</v>
      </c>
      <c r="M25" s="273">
        <v>9</v>
      </c>
      <c r="N25" s="273">
        <v>3.5</v>
      </c>
      <c r="O25" s="273">
        <v>31.5</v>
      </c>
      <c r="P25" s="273">
        <v>5.5</v>
      </c>
      <c r="Q25" s="273">
        <v>4</v>
      </c>
      <c r="R25" s="273">
        <v>9.5</v>
      </c>
      <c r="S25" s="273">
        <v>22</v>
      </c>
      <c r="T25" s="273">
        <v>3.3157999999999999</v>
      </c>
      <c r="U25" s="273">
        <v>1.4318</v>
      </c>
      <c r="V25" s="273">
        <v>2.3157999999999999</v>
      </c>
      <c r="W25" s="277" t="s">
        <v>1197</v>
      </c>
      <c r="X25" s="273" t="s">
        <v>371</v>
      </c>
      <c r="Y25" s="273" t="s">
        <v>371</v>
      </c>
      <c r="Z25" s="273" t="s">
        <v>371</v>
      </c>
      <c r="AA25" s="273" t="s">
        <v>371</v>
      </c>
      <c r="AB25" s="273">
        <v>0.9</v>
      </c>
      <c r="AC25" s="273">
        <v>0.35</v>
      </c>
      <c r="AD25" s="273">
        <v>0.55000000000000004</v>
      </c>
      <c r="AE25" s="273">
        <v>0.315</v>
      </c>
      <c r="AF25" s="273">
        <v>0.4</v>
      </c>
      <c r="AG25" s="273">
        <v>0.57269999999999999</v>
      </c>
      <c r="AH25" s="273" t="s">
        <v>1128</v>
      </c>
      <c r="AI25" s="277" t="s">
        <v>1198</v>
      </c>
    </row>
    <row r="26" spans="1:35" ht="15.95" customHeight="1" x14ac:dyDescent="0.2">
      <c r="A26" s="275">
        <v>22</v>
      </c>
      <c r="B26" s="275" t="s">
        <v>1180</v>
      </c>
      <c r="C26" s="275">
        <v>22</v>
      </c>
      <c r="D26" s="275" t="s">
        <v>1263</v>
      </c>
      <c r="E26" s="275" t="s">
        <v>1022</v>
      </c>
      <c r="F26" s="275" t="s">
        <v>880</v>
      </c>
      <c r="G26" s="275" t="s">
        <v>1264</v>
      </c>
      <c r="H26" s="275" t="s">
        <v>1265</v>
      </c>
      <c r="I26" s="275" t="s">
        <v>1256</v>
      </c>
      <c r="J26" s="275" t="s">
        <v>921</v>
      </c>
      <c r="K26" s="275" t="s">
        <v>1266</v>
      </c>
      <c r="L26" s="275" t="s">
        <v>1267</v>
      </c>
      <c r="M26" s="275">
        <v>5</v>
      </c>
      <c r="N26" s="275">
        <v>6.5</v>
      </c>
      <c r="O26" s="275">
        <v>32.5</v>
      </c>
      <c r="P26" s="275">
        <v>3</v>
      </c>
      <c r="Q26" s="275">
        <v>2.5</v>
      </c>
      <c r="R26" s="275">
        <v>5.5</v>
      </c>
      <c r="S26" s="275">
        <v>7.5</v>
      </c>
      <c r="T26" s="275">
        <v>5.9090999999999996</v>
      </c>
      <c r="U26" s="275">
        <v>4.3333000000000004</v>
      </c>
      <c r="V26" s="275">
        <v>1.3635999999999999</v>
      </c>
      <c r="W26" s="274" t="s">
        <v>1182</v>
      </c>
      <c r="X26" s="275" t="s">
        <v>371</v>
      </c>
      <c r="Y26" s="275" t="s">
        <v>371</v>
      </c>
      <c r="Z26" s="275" t="s">
        <v>371</v>
      </c>
      <c r="AA26" s="275" t="s">
        <v>371</v>
      </c>
      <c r="AB26" s="275">
        <v>0.5</v>
      </c>
      <c r="AC26" s="275">
        <v>0.65</v>
      </c>
      <c r="AD26" s="275">
        <v>0.3</v>
      </c>
      <c r="AE26" s="275">
        <v>0.32500000000000001</v>
      </c>
      <c r="AF26" s="275">
        <v>0.25</v>
      </c>
      <c r="AG26" s="275">
        <v>1.0832999999999999</v>
      </c>
      <c r="AH26" s="275" t="s">
        <v>1109</v>
      </c>
      <c r="AI26" s="276" t="s">
        <v>1186</v>
      </c>
    </row>
    <row r="27" spans="1:35" ht="15.95" customHeight="1" x14ac:dyDescent="0.2">
      <c r="A27" s="273">
        <v>23</v>
      </c>
      <c r="B27" s="273" t="s">
        <v>1180</v>
      </c>
      <c r="C27" s="273">
        <v>23</v>
      </c>
      <c r="D27" s="273" t="s">
        <v>1268</v>
      </c>
      <c r="E27" s="273" t="s">
        <v>1026</v>
      </c>
      <c r="F27" s="273" t="s">
        <v>899</v>
      </c>
      <c r="G27" s="273" t="s">
        <v>1269</v>
      </c>
      <c r="H27" s="273" t="s">
        <v>1270</v>
      </c>
      <c r="I27" s="273" t="s">
        <v>1202</v>
      </c>
      <c r="J27" s="273" t="s">
        <v>1203</v>
      </c>
      <c r="K27" s="273" t="s">
        <v>1271</v>
      </c>
      <c r="L27" s="273" t="s">
        <v>975</v>
      </c>
      <c r="M27" s="273">
        <v>7.5</v>
      </c>
      <c r="N27" s="273">
        <v>6</v>
      </c>
      <c r="O27" s="273">
        <v>45</v>
      </c>
      <c r="P27" s="273">
        <v>3</v>
      </c>
      <c r="Q27" s="273">
        <v>2.5</v>
      </c>
      <c r="R27" s="273">
        <v>5.5</v>
      </c>
      <c r="S27" s="273">
        <v>7.5</v>
      </c>
      <c r="T27" s="273">
        <v>8.1818000000000008</v>
      </c>
      <c r="U27" s="273">
        <v>6</v>
      </c>
      <c r="V27" s="273">
        <v>1.3635999999999999</v>
      </c>
      <c r="W27" s="274" t="s">
        <v>1182</v>
      </c>
      <c r="X27" s="273" t="s">
        <v>371</v>
      </c>
      <c r="Y27" s="273" t="s">
        <v>371</v>
      </c>
      <c r="Z27" s="273" t="s">
        <v>371</v>
      </c>
      <c r="AA27" s="273" t="s">
        <v>371</v>
      </c>
      <c r="AB27" s="273">
        <v>0.75</v>
      </c>
      <c r="AC27" s="273">
        <v>0.6</v>
      </c>
      <c r="AD27" s="273">
        <v>0.3</v>
      </c>
      <c r="AE27" s="273">
        <v>0.45</v>
      </c>
      <c r="AF27" s="273">
        <v>0.25</v>
      </c>
      <c r="AG27" s="273">
        <v>1.5</v>
      </c>
      <c r="AH27" s="273" t="s">
        <v>1109</v>
      </c>
      <c r="AI27" s="276" t="s">
        <v>1186</v>
      </c>
    </row>
    <row r="28" spans="1:35" ht="15.95" customHeight="1" x14ac:dyDescent="0.2">
      <c r="A28" s="275">
        <v>24</v>
      </c>
      <c r="B28" s="275" t="s">
        <v>1180</v>
      </c>
      <c r="C28" s="275">
        <v>24</v>
      </c>
      <c r="D28" s="275" t="s">
        <v>1272</v>
      </c>
      <c r="E28" s="275" t="s">
        <v>1031</v>
      </c>
      <c r="F28" s="275" t="s">
        <v>899</v>
      </c>
      <c r="G28" s="275" t="s">
        <v>1273</v>
      </c>
      <c r="H28" s="275" t="s">
        <v>1132</v>
      </c>
      <c r="I28" s="275" t="s">
        <v>1189</v>
      </c>
      <c r="J28" s="275" t="s">
        <v>1203</v>
      </c>
      <c r="K28" s="275" t="s">
        <v>1274</v>
      </c>
      <c r="L28" s="275" t="s">
        <v>975</v>
      </c>
      <c r="M28" s="275">
        <v>8</v>
      </c>
      <c r="N28" s="275">
        <v>5.5</v>
      </c>
      <c r="O28" s="275">
        <v>44</v>
      </c>
      <c r="P28" s="275">
        <v>4.5</v>
      </c>
      <c r="Q28" s="275">
        <v>3.5</v>
      </c>
      <c r="R28" s="275">
        <v>8</v>
      </c>
      <c r="S28" s="275">
        <v>15.75</v>
      </c>
      <c r="T28" s="275">
        <v>5.5</v>
      </c>
      <c r="U28" s="275">
        <v>2.7936999999999999</v>
      </c>
      <c r="V28" s="275">
        <v>1.9686999999999999</v>
      </c>
      <c r="W28" s="274" t="s">
        <v>1182</v>
      </c>
      <c r="X28" s="275" t="s">
        <v>371</v>
      </c>
      <c r="Y28" s="275" t="s">
        <v>371</v>
      </c>
      <c r="Z28" s="275" t="s">
        <v>371</v>
      </c>
      <c r="AA28" s="275" t="s">
        <v>371</v>
      </c>
      <c r="AB28" s="275">
        <v>0.8</v>
      </c>
      <c r="AC28" s="275">
        <v>0.55000000000000004</v>
      </c>
      <c r="AD28" s="275">
        <v>0.45</v>
      </c>
      <c r="AE28" s="275">
        <v>0.44</v>
      </c>
      <c r="AF28" s="275">
        <v>0.35</v>
      </c>
      <c r="AG28" s="275">
        <v>0.9778</v>
      </c>
      <c r="AH28" s="275" t="s">
        <v>1128</v>
      </c>
      <c r="AI28" s="277" t="s">
        <v>1214</v>
      </c>
    </row>
    <row r="29" spans="1:35" ht="15.95" customHeight="1" x14ac:dyDescent="0.2">
      <c r="A29" s="273">
        <v>25</v>
      </c>
      <c r="B29" s="273" t="s">
        <v>1180</v>
      </c>
      <c r="C29" s="273">
        <v>25</v>
      </c>
      <c r="D29" s="273" t="s">
        <v>1275</v>
      </c>
      <c r="E29" s="273" t="s">
        <v>1035</v>
      </c>
      <c r="F29" s="273" t="s">
        <v>899</v>
      </c>
      <c r="G29" s="273" t="s">
        <v>1276</v>
      </c>
      <c r="H29" s="273" t="s">
        <v>1130</v>
      </c>
      <c r="I29" s="273" t="s">
        <v>1220</v>
      </c>
      <c r="J29" s="273" t="s">
        <v>929</v>
      </c>
      <c r="K29" s="273" t="s">
        <v>1277</v>
      </c>
      <c r="L29" s="273" t="s">
        <v>1251</v>
      </c>
      <c r="M29" s="273">
        <v>9</v>
      </c>
      <c r="N29" s="273">
        <v>5</v>
      </c>
      <c r="O29" s="273">
        <v>45</v>
      </c>
      <c r="P29" s="273">
        <v>4</v>
      </c>
      <c r="Q29" s="273">
        <v>3.5</v>
      </c>
      <c r="R29" s="273">
        <v>7.5</v>
      </c>
      <c r="S29" s="273">
        <v>14</v>
      </c>
      <c r="T29" s="273">
        <v>6</v>
      </c>
      <c r="U29" s="273">
        <v>3.2143000000000002</v>
      </c>
      <c r="V29" s="273">
        <v>1.8667</v>
      </c>
      <c r="W29" s="274" t="s">
        <v>1182</v>
      </c>
      <c r="X29" s="273" t="s">
        <v>371</v>
      </c>
      <c r="Y29" s="273" t="s">
        <v>371</v>
      </c>
      <c r="Z29" s="273" t="s">
        <v>371</v>
      </c>
      <c r="AA29" s="273" t="s">
        <v>371</v>
      </c>
      <c r="AB29" s="273">
        <v>0.9</v>
      </c>
      <c r="AC29" s="273">
        <v>0.5</v>
      </c>
      <c r="AD29" s="273">
        <v>0.4</v>
      </c>
      <c r="AE29" s="273">
        <v>0.45</v>
      </c>
      <c r="AF29" s="273">
        <v>0.35</v>
      </c>
      <c r="AG29" s="273">
        <v>1.125</v>
      </c>
      <c r="AH29" s="273" t="s">
        <v>1109</v>
      </c>
      <c r="AI29" s="276" t="s">
        <v>1214</v>
      </c>
    </row>
    <row r="30" spans="1:35" ht="15.95" customHeight="1" x14ac:dyDescent="0.2">
      <c r="A30" s="275">
        <v>26</v>
      </c>
      <c r="B30" s="275" t="s">
        <v>1180</v>
      </c>
      <c r="C30" s="275">
        <v>26</v>
      </c>
      <c r="D30" s="275" t="s">
        <v>1278</v>
      </c>
      <c r="E30" s="275" t="s">
        <v>1040</v>
      </c>
      <c r="F30" s="275" t="s">
        <v>899</v>
      </c>
      <c r="G30" s="275" t="s">
        <v>1279</v>
      </c>
      <c r="H30" s="275" t="s">
        <v>1249</v>
      </c>
      <c r="I30" s="275" t="s">
        <v>1202</v>
      </c>
      <c r="J30" s="275" t="s">
        <v>921</v>
      </c>
      <c r="K30" s="275" t="s">
        <v>1280</v>
      </c>
      <c r="L30" s="275" t="s">
        <v>975</v>
      </c>
      <c r="M30" s="275">
        <v>5.5</v>
      </c>
      <c r="N30" s="275">
        <v>4</v>
      </c>
      <c r="O30" s="275">
        <v>22</v>
      </c>
      <c r="P30" s="275">
        <v>6</v>
      </c>
      <c r="Q30" s="275">
        <v>4.5</v>
      </c>
      <c r="R30" s="275">
        <v>10.5</v>
      </c>
      <c r="S30" s="275">
        <v>27</v>
      </c>
      <c r="T30" s="275">
        <v>2.0952000000000002</v>
      </c>
      <c r="U30" s="275">
        <v>0.81479999999999997</v>
      </c>
      <c r="V30" s="275">
        <v>2.5714000000000001</v>
      </c>
      <c r="W30" s="277" t="s">
        <v>1197</v>
      </c>
      <c r="X30" s="275" t="s">
        <v>371</v>
      </c>
      <c r="Y30" s="275" t="s">
        <v>371</v>
      </c>
      <c r="Z30" s="275" t="s">
        <v>371</v>
      </c>
      <c r="AA30" s="275" t="s">
        <v>371</v>
      </c>
      <c r="AB30" s="275">
        <v>0.55000000000000004</v>
      </c>
      <c r="AC30" s="275">
        <v>0.4</v>
      </c>
      <c r="AD30" s="275">
        <v>0.6</v>
      </c>
      <c r="AE30" s="275">
        <v>0.22</v>
      </c>
      <c r="AF30" s="275">
        <v>0.45</v>
      </c>
      <c r="AG30" s="275">
        <v>0.36670000000000003</v>
      </c>
      <c r="AH30" s="275" t="s">
        <v>388</v>
      </c>
      <c r="AI30" s="278" t="s">
        <v>1210</v>
      </c>
    </row>
    <row r="31" spans="1:35" ht="15.95" customHeight="1" x14ac:dyDescent="0.2">
      <c r="A31" s="273">
        <v>27</v>
      </c>
      <c r="B31" s="273" t="s">
        <v>1180</v>
      </c>
      <c r="C31" s="273">
        <v>27</v>
      </c>
      <c r="D31" s="273" t="s">
        <v>1281</v>
      </c>
      <c r="E31" s="273" t="s">
        <v>1045</v>
      </c>
      <c r="F31" s="273" t="s">
        <v>899</v>
      </c>
      <c r="G31" s="273" t="s">
        <v>1282</v>
      </c>
      <c r="H31" s="273" t="s">
        <v>1283</v>
      </c>
      <c r="I31" s="273" t="s">
        <v>1256</v>
      </c>
      <c r="J31" s="273" t="s">
        <v>929</v>
      </c>
      <c r="K31" s="273" t="s">
        <v>1284</v>
      </c>
      <c r="L31" s="273" t="s">
        <v>1285</v>
      </c>
      <c r="M31" s="273">
        <v>8</v>
      </c>
      <c r="N31" s="273">
        <v>4</v>
      </c>
      <c r="O31" s="273">
        <v>32</v>
      </c>
      <c r="P31" s="273">
        <v>4</v>
      </c>
      <c r="Q31" s="273">
        <v>3</v>
      </c>
      <c r="R31" s="273">
        <v>7</v>
      </c>
      <c r="S31" s="273">
        <v>12</v>
      </c>
      <c r="T31" s="273">
        <v>4.5713999999999997</v>
      </c>
      <c r="U31" s="273">
        <v>2.6667000000000001</v>
      </c>
      <c r="V31" s="273">
        <v>1.7142999999999999</v>
      </c>
      <c r="W31" s="274" t="s">
        <v>1182</v>
      </c>
      <c r="X31" s="273" t="s">
        <v>371</v>
      </c>
      <c r="Y31" s="273" t="s">
        <v>371</v>
      </c>
      <c r="Z31" s="273" t="s">
        <v>371</v>
      </c>
      <c r="AA31" s="273" t="s">
        <v>371</v>
      </c>
      <c r="AB31" s="273">
        <v>0.8</v>
      </c>
      <c r="AC31" s="273">
        <v>0.4</v>
      </c>
      <c r="AD31" s="273">
        <v>0.4</v>
      </c>
      <c r="AE31" s="273">
        <v>0.32</v>
      </c>
      <c r="AF31" s="273">
        <v>0.3</v>
      </c>
      <c r="AG31" s="273">
        <v>0.8</v>
      </c>
      <c r="AH31" s="273" t="s">
        <v>1128</v>
      </c>
      <c r="AI31" s="277" t="s">
        <v>1205</v>
      </c>
    </row>
    <row r="32" spans="1:35" ht="15.95" customHeight="1" x14ac:dyDescent="0.2">
      <c r="A32" s="275">
        <v>28</v>
      </c>
      <c r="B32" s="275" t="s">
        <v>1180</v>
      </c>
      <c r="C32" s="275">
        <v>28</v>
      </c>
      <c r="D32" s="275" t="s">
        <v>1286</v>
      </c>
      <c r="E32" s="275" t="s">
        <v>1050</v>
      </c>
      <c r="F32" s="275" t="s">
        <v>899</v>
      </c>
      <c r="G32" s="275" t="s">
        <v>1269</v>
      </c>
      <c r="H32" s="275" t="s">
        <v>1270</v>
      </c>
      <c r="I32" s="275" t="s">
        <v>1202</v>
      </c>
      <c r="J32" s="275" t="s">
        <v>1203</v>
      </c>
      <c r="K32" s="275" t="s">
        <v>1287</v>
      </c>
      <c r="L32" s="275" t="s">
        <v>975</v>
      </c>
      <c r="M32" s="275">
        <v>7</v>
      </c>
      <c r="N32" s="275">
        <v>3.8</v>
      </c>
      <c r="O32" s="275">
        <v>26.6</v>
      </c>
      <c r="P32" s="275">
        <v>3.5</v>
      </c>
      <c r="Q32" s="275">
        <v>3</v>
      </c>
      <c r="R32" s="275">
        <v>6.5</v>
      </c>
      <c r="S32" s="275">
        <v>10.5</v>
      </c>
      <c r="T32" s="275">
        <v>4.0922999999999998</v>
      </c>
      <c r="U32" s="275">
        <v>2.5333000000000001</v>
      </c>
      <c r="V32" s="275">
        <v>1.6153999999999999</v>
      </c>
      <c r="W32" s="274" t="s">
        <v>1182</v>
      </c>
      <c r="X32" s="275" t="s">
        <v>371</v>
      </c>
      <c r="Y32" s="275" t="s">
        <v>371</v>
      </c>
      <c r="Z32" s="275" t="s">
        <v>371</v>
      </c>
      <c r="AA32" s="275" t="s">
        <v>371</v>
      </c>
      <c r="AB32" s="275">
        <v>0.7</v>
      </c>
      <c r="AC32" s="275">
        <v>0.38</v>
      </c>
      <c r="AD32" s="275">
        <v>0.35</v>
      </c>
      <c r="AE32" s="275">
        <v>0.26600000000000001</v>
      </c>
      <c r="AF32" s="275">
        <v>0.3</v>
      </c>
      <c r="AG32" s="275">
        <v>0.76</v>
      </c>
      <c r="AH32" s="275" t="s">
        <v>1128</v>
      </c>
      <c r="AI32" s="277" t="s">
        <v>1205</v>
      </c>
    </row>
    <row r="33" spans="1:35" ht="15.95" customHeight="1" x14ac:dyDescent="0.2">
      <c r="A33" s="273">
        <v>29</v>
      </c>
      <c r="B33" s="273" t="s">
        <v>1180</v>
      </c>
      <c r="C33" s="273">
        <v>29</v>
      </c>
      <c r="D33" s="273" t="s">
        <v>1288</v>
      </c>
      <c r="E33" s="273" t="s">
        <v>1055</v>
      </c>
      <c r="F33" s="273" t="s">
        <v>880</v>
      </c>
      <c r="G33" s="273" t="s">
        <v>1245</v>
      </c>
      <c r="H33" s="273" t="s">
        <v>1289</v>
      </c>
      <c r="I33" s="273" t="s">
        <v>1256</v>
      </c>
      <c r="J33" s="273" t="s">
        <v>1203</v>
      </c>
      <c r="K33" s="273" t="s">
        <v>1290</v>
      </c>
      <c r="L33" s="273" t="s">
        <v>980</v>
      </c>
      <c r="M33" s="273">
        <v>9.5</v>
      </c>
      <c r="N33" s="273">
        <v>8.5</v>
      </c>
      <c r="O33" s="273">
        <v>80.75</v>
      </c>
      <c r="P33" s="273">
        <v>4.5</v>
      </c>
      <c r="Q33" s="273">
        <v>3.5</v>
      </c>
      <c r="R33" s="273">
        <v>8</v>
      </c>
      <c r="S33" s="273">
        <v>15.75</v>
      </c>
      <c r="T33" s="273">
        <v>10.0938</v>
      </c>
      <c r="U33" s="273">
        <v>5.1269999999999998</v>
      </c>
      <c r="V33" s="273">
        <v>1.9688000000000001</v>
      </c>
      <c r="W33" s="274" t="s">
        <v>1182</v>
      </c>
      <c r="X33" s="273" t="s">
        <v>371</v>
      </c>
      <c r="Y33" s="273" t="s">
        <v>371</v>
      </c>
      <c r="Z33" s="273" t="s">
        <v>371</v>
      </c>
      <c r="AA33" s="273" t="s">
        <v>371</v>
      </c>
      <c r="AB33" s="273">
        <v>0.95</v>
      </c>
      <c r="AC33" s="273">
        <v>0.85</v>
      </c>
      <c r="AD33" s="273">
        <v>0.45</v>
      </c>
      <c r="AE33" s="273">
        <v>0.8075</v>
      </c>
      <c r="AF33" s="273">
        <v>0.35</v>
      </c>
      <c r="AG33" s="273">
        <v>1.7944</v>
      </c>
      <c r="AH33" s="273" t="s">
        <v>1109</v>
      </c>
      <c r="AI33" s="276" t="s">
        <v>1214</v>
      </c>
    </row>
    <row r="34" spans="1:35" ht="15.95" customHeight="1" x14ac:dyDescent="0.2">
      <c r="A34" s="275">
        <v>30</v>
      </c>
      <c r="B34" s="275" t="s">
        <v>1180</v>
      </c>
      <c r="C34" s="275">
        <v>30</v>
      </c>
      <c r="D34" s="275" t="s">
        <v>1291</v>
      </c>
      <c r="E34" s="275" t="s">
        <v>1061</v>
      </c>
      <c r="F34" s="275" t="s">
        <v>939</v>
      </c>
      <c r="G34" s="275" t="s">
        <v>1292</v>
      </c>
      <c r="H34" s="275" t="s">
        <v>984</v>
      </c>
      <c r="I34" s="275" t="s">
        <v>1202</v>
      </c>
      <c r="J34" s="275" t="s">
        <v>903</v>
      </c>
      <c r="K34" s="275" t="s">
        <v>1293</v>
      </c>
      <c r="L34" s="275" t="s">
        <v>1294</v>
      </c>
      <c r="M34" s="275">
        <v>4</v>
      </c>
      <c r="N34" s="275">
        <v>3.3</v>
      </c>
      <c r="O34" s="275">
        <v>13.2</v>
      </c>
      <c r="P34" s="275">
        <v>6.5</v>
      </c>
      <c r="Q34" s="275">
        <v>6</v>
      </c>
      <c r="R34" s="275">
        <v>12.5</v>
      </c>
      <c r="S34" s="275">
        <v>39</v>
      </c>
      <c r="T34" s="275">
        <v>1.056</v>
      </c>
      <c r="U34" s="275">
        <v>0.33850000000000002</v>
      </c>
      <c r="V34" s="275">
        <v>3.1196000000000002</v>
      </c>
      <c r="W34" s="277" t="s">
        <v>1197</v>
      </c>
      <c r="X34" s="275" t="s">
        <v>371</v>
      </c>
      <c r="Y34" s="275" t="s">
        <v>371</v>
      </c>
      <c r="Z34" s="275" t="s">
        <v>371</v>
      </c>
      <c r="AA34" s="275" t="s">
        <v>371</v>
      </c>
      <c r="AB34" s="275">
        <v>0.4</v>
      </c>
      <c r="AC34" s="275">
        <v>0.33</v>
      </c>
      <c r="AD34" s="275">
        <v>0.65</v>
      </c>
      <c r="AE34" s="275">
        <v>0.13200000000000001</v>
      </c>
      <c r="AF34" s="275">
        <v>0.6</v>
      </c>
      <c r="AG34" s="275">
        <v>0.2031</v>
      </c>
      <c r="AH34" s="275" t="s">
        <v>388</v>
      </c>
      <c r="AI34" s="278" t="s">
        <v>1295</v>
      </c>
    </row>
    <row r="35" spans="1:35" ht="15.95" customHeight="1" x14ac:dyDescent="0.2">
      <c r="A35" s="273">
        <v>31</v>
      </c>
      <c r="B35" s="273" t="s">
        <v>1180</v>
      </c>
      <c r="C35" s="273">
        <v>31</v>
      </c>
      <c r="D35" s="273" t="s">
        <v>1296</v>
      </c>
      <c r="E35" s="273" t="s">
        <v>1297</v>
      </c>
      <c r="F35" s="273" t="s">
        <v>899</v>
      </c>
      <c r="G35" s="273" t="s">
        <v>1298</v>
      </c>
      <c r="H35" s="273" t="s">
        <v>1130</v>
      </c>
      <c r="I35" s="273" t="s">
        <v>1202</v>
      </c>
      <c r="J35" s="273" t="s">
        <v>921</v>
      </c>
      <c r="K35" s="273" t="s">
        <v>1299</v>
      </c>
      <c r="L35" s="273" t="s">
        <v>975</v>
      </c>
      <c r="M35" s="273">
        <v>7</v>
      </c>
      <c r="N35" s="273">
        <v>3.1</v>
      </c>
      <c r="O35" s="273">
        <v>21.7</v>
      </c>
      <c r="P35" s="273">
        <v>5</v>
      </c>
      <c r="Q35" s="273">
        <v>3</v>
      </c>
      <c r="R35" s="273">
        <v>8</v>
      </c>
      <c r="S35" s="273">
        <v>15</v>
      </c>
      <c r="T35" s="273">
        <v>2.7124999999999999</v>
      </c>
      <c r="U35" s="273">
        <v>1.4467000000000001</v>
      </c>
      <c r="V35" s="273">
        <v>1.875</v>
      </c>
      <c r="W35" s="274" t="s">
        <v>1182</v>
      </c>
      <c r="X35" s="273" t="s">
        <v>371</v>
      </c>
      <c r="Y35" s="273" t="s">
        <v>371</v>
      </c>
      <c r="Z35" s="273" t="s">
        <v>371</v>
      </c>
      <c r="AA35" s="273" t="s">
        <v>371</v>
      </c>
      <c r="AB35" s="273">
        <v>0.7</v>
      </c>
      <c r="AC35" s="273">
        <v>0.31</v>
      </c>
      <c r="AD35" s="273">
        <v>0.5</v>
      </c>
      <c r="AE35" s="273">
        <v>0.217</v>
      </c>
      <c r="AF35" s="273">
        <v>0.3</v>
      </c>
      <c r="AG35" s="273">
        <v>0.434</v>
      </c>
      <c r="AH35" s="273" t="s">
        <v>388</v>
      </c>
      <c r="AI35" s="278" t="s">
        <v>1205</v>
      </c>
    </row>
    <row r="36" spans="1:35" ht="15.95" customHeight="1" x14ac:dyDescent="0.2">
      <c r="A36" s="275">
        <v>32</v>
      </c>
      <c r="B36" s="275" t="s">
        <v>1180</v>
      </c>
      <c r="C36" s="275">
        <v>32</v>
      </c>
      <c r="D36" s="275" t="s">
        <v>1300</v>
      </c>
      <c r="E36" s="275" t="s">
        <v>1071</v>
      </c>
      <c r="F36" s="275" t="s">
        <v>880</v>
      </c>
      <c r="G36" s="275" t="s">
        <v>1301</v>
      </c>
      <c r="H36" s="275" t="s">
        <v>1016</v>
      </c>
      <c r="I36" s="275" t="s">
        <v>1256</v>
      </c>
      <c r="J36" s="275" t="s">
        <v>929</v>
      </c>
      <c r="K36" s="275" t="s">
        <v>1302</v>
      </c>
      <c r="L36" s="275" t="s">
        <v>1267</v>
      </c>
      <c r="M36" s="275">
        <v>6</v>
      </c>
      <c r="N36" s="275">
        <v>2.8</v>
      </c>
      <c r="O36" s="275">
        <v>16.8</v>
      </c>
      <c r="P36" s="275">
        <v>5.5</v>
      </c>
      <c r="Q36" s="275">
        <v>3.5</v>
      </c>
      <c r="R36" s="275">
        <v>9</v>
      </c>
      <c r="S36" s="275">
        <v>19.25</v>
      </c>
      <c r="T36" s="275">
        <v>1.8667</v>
      </c>
      <c r="U36" s="275">
        <v>0.87270000000000003</v>
      </c>
      <c r="V36" s="275">
        <v>2.1389999999999998</v>
      </c>
      <c r="W36" s="277" t="s">
        <v>1197</v>
      </c>
      <c r="X36" s="275" t="s">
        <v>371</v>
      </c>
      <c r="Y36" s="275" t="s">
        <v>371</v>
      </c>
      <c r="Z36" s="275" t="s">
        <v>371</v>
      </c>
      <c r="AA36" s="275" t="s">
        <v>371</v>
      </c>
      <c r="AB36" s="275">
        <v>0.6</v>
      </c>
      <c r="AC36" s="275">
        <v>0.28000000000000003</v>
      </c>
      <c r="AD36" s="275">
        <v>0.55000000000000004</v>
      </c>
      <c r="AE36" s="275">
        <v>0.16800000000000001</v>
      </c>
      <c r="AF36" s="275">
        <v>0.35</v>
      </c>
      <c r="AG36" s="275">
        <v>0.30549999999999999</v>
      </c>
      <c r="AH36" s="275" t="s">
        <v>388</v>
      </c>
      <c r="AI36" s="278" t="s">
        <v>1214</v>
      </c>
    </row>
    <row r="37" spans="1:35" ht="15.95" customHeight="1" x14ac:dyDescent="0.2">
      <c r="A37" s="273">
        <v>33</v>
      </c>
      <c r="B37" s="273" t="s">
        <v>1180</v>
      </c>
      <c r="C37" s="273">
        <v>33</v>
      </c>
      <c r="D37" s="273" t="s">
        <v>1303</v>
      </c>
      <c r="E37" s="273" t="s">
        <v>1075</v>
      </c>
      <c r="F37" s="273" t="s">
        <v>899</v>
      </c>
      <c r="G37" s="273" t="s">
        <v>1282</v>
      </c>
      <c r="H37" s="273" t="s">
        <v>1304</v>
      </c>
      <c r="I37" s="273" t="s">
        <v>1220</v>
      </c>
      <c r="J37" s="273" t="s">
        <v>903</v>
      </c>
      <c r="K37" s="273" t="s">
        <v>1305</v>
      </c>
      <c r="L37" s="273" t="s">
        <v>1285</v>
      </c>
      <c r="M37" s="273">
        <v>7.5</v>
      </c>
      <c r="N37" s="273">
        <v>2.5</v>
      </c>
      <c r="O37" s="273">
        <v>18.75</v>
      </c>
      <c r="P37" s="273">
        <v>4.5</v>
      </c>
      <c r="Q37" s="273">
        <v>4</v>
      </c>
      <c r="R37" s="273">
        <v>8.5</v>
      </c>
      <c r="S37" s="273">
        <v>18</v>
      </c>
      <c r="T37" s="273">
        <v>2.2059000000000002</v>
      </c>
      <c r="U37" s="273">
        <v>1.0417000000000001</v>
      </c>
      <c r="V37" s="273">
        <v>2.1175999999999999</v>
      </c>
      <c r="W37" s="277" t="s">
        <v>1197</v>
      </c>
      <c r="X37" s="273" t="s">
        <v>371</v>
      </c>
      <c r="Y37" s="273" t="s">
        <v>371</v>
      </c>
      <c r="Z37" s="273" t="s">
        <v>371</v>
      </c>
      <c r="AA37" s="273" t="s">
        <v>371</v>
      </c>
      <c r="AB37" s="273">
        <v>0.75</v>
      </c>
      <c r="AC37" s="273">
        <v>0.25</v>
      </c>
      <c r="AD37" s="273">
        <v>0.45</v>
      </c>
      <c r="AE37" s="273">
        <v>0.1875</v>
      </c>
      <c r="AF37" s="273">
        <v>0.4</v>
      </c>
      <c r="AG37" s="273">
        <v>0.41670000000000001</v>
      </c>
      <c r="AH37" s="273" t="s">
        <v>388</v>
      </c>
      <c r="AI37" s="278" t="s">
        <v>1198</v>
      </c>
    </row>
    <row r="38" spans="1:35" ht="15.95" customHeight="1" x14ac:dyDescent="0.2">
      <c r="A38" s="275">
        <v>34</v>
      </c>
      <c r="B38" s="275" t="s">
        <v>1180</v>
      </c>
      <c r="C38" s="275">
        <v>34</v>
      </c>
      <c r="D38" s="275" t="s">
        <v>1306</v>
      </c>
      <c r="E38" s="275" t="s">
        <v>1080</v>
      </c>
      <c r="F38" s="275" t="s">
        <v>899</v>
      </c>
      <c r="G38" s="275" t="s">
        <v>1194</v>
      </c>
      <c r="H38" s="275" t="s">
        <v>1307</v>
      </c>
      <c r="I38" s="275" t="s">
        <v>1202</v>
      </c>
      <c r="J38" s="275" t="s">
        <v>929</v>
      </c>
      <c r="K38" s="275" t="s">
        <v>1308</v>
      </c>
      <c r="L38" s="275" t="s">
        <v>1309</v>
      </c>
      <c r="M38" s="275">
        <v>3</v>
      </c>
      <c r="N38" s="275">
        <v>2.2000000000000002</v>
      </c>
      <c r="O38" s="275">
        <v>6.6</v>
      </c>
      <c r="P38" s="275">
        <v>8</v>
      </c>
      <c r="Q38" s="275">
        <v>7</v>
      </c>
      <c r="R38" s="275">
        <v>15</v>
      </c>
      <c r="S38" s="275">
        <v>56</v>
      </c>
      <c r="T38" s="275">
        <v>0.44</v>
      </c>
      <c r="U38" s="275">
        <v>0.1179</v>
      </c>
      <c r="V38" s="275">
        <v>3.7320000000000002</v>
      </c>
      <c r="W38" s="277" t="s">
        <v>1197</v>
      </c>
      <c r="X38" s="275" t="s">
        <v>371</v>
      </c>
      <c r="Y38" s="275" t="s">
        <v>371</v>
      </c>
      <c r="Z38" s="275" t="s">
        <v>371</v>
      </c>
      <c r="AA38" s="275" t="s">
        <v>371</v>
      </c>
      <c r="AB38" s="275">
        <v>0.3</v>
      </c>
      <c r="AC38" s="275">
        <v>0.22</v>
      </c>
      <c r="AD38" s="275">
        <v>0.8</v>
      </c>
      <c r="AE38" s="275">
        <v>6.6000000000000003E-2</v>
      </c>
      <c r="AF38" s="275">
        <v>0.7</v>
      </c>
      <c r="AG38" s="275">
        <v>8.2500000000000004E-2</v>
      </c>
      <c r="AH38" s="275" t="s">
        <v>388</v>
      </c>
      <c r="AI38" s="278" t="s">
        <v>1310</v>
      </c>
    </row>
    <row r="39" spans="1:35" ht="15.95" customHeight="1" x14ac:dyDescent="0.2">
      <c r="A39" s="273">
        <v>35</v>
      </c>
      <c r="B39" s="273" t="s">
        <v>1180</v>
      </c>
      <c r="C39" s="273">
        <v>35</v>
      </c>
      <c r="D39" s="273" t="s">
        <v>1311</v>
      </c>
      <c r="E39" s="273" t="s">
        <v>1085</v>
      </c>
      <c r="F39" s="273" t="s">
        <v>899</v>
      </c>
      <c r="G39" s="273" t="s">
        <v>1245</v>
      </c>
      <c r="H39" s="273" t="s">
        <v>984</v>
      </c>
      <c r="I39" s="273" t="s">
        <v>1202</v>
      </c>
      <c r="J39" s="273" t="s">
        <v>903</v>
      </c>
      <c r="K39" s="273" t="s">
        <v>1312</v>
      </c>
      <c r="L39" s="273" t="s">
        <v>1251</v>
      </c>
      <c r="M39" s="273">
        <v>9</v>
      </c>
      <c r="N39" s="273">
        <v>1.8</v>
      </c>
      <c r="O39" s="273">
        <v>16.2</v>
      </c>
      <c r="P39" s="273">
        <v>4</v>
      </c>
      <c r="Q39" s="273">
        <v>3.5</v>
      </c>
      <c r="R39" s="273">
        <v>7.5</v>
      </c>
      <c r="S39" s="273">
        <v>14</v>
      </c>
      <c r="T39" s="273">
        <v>2.16</v>
      </c>
      <c r="U39" s="273">
        <v>1.1571</v>
      </c>
      <c r="V39" s="273">
        <v>1.8667</v>
      </c>
      <c r="W39" s="274" t="s">
        <v>1182</v>
      </c>
      <c r="X39" s="273" t="s">
        <v>371</v>
      </c>
      <c r="Y39" s="273" t="s">
        <v>371</v>
      </c>
      <c r="Z39" s="273" t="s">
        <v>371</v>
      </c>
      <c r="AA39" s="273" t="s">
        <v>371</v>
      </c>
      <c r="AB39" s="273">
        <v>0.9</v>
      </c>
      <c r="AC39" s="273">
        <v>0.18</v>
      </c>
      <c r="AD39" s="273">
        <v>0.4</v>
      </c>
      <c r="AE39" s="273">
        <v>0.16200000000000001</v>
      </c>
      <c r="AF39" s="273">
        <v>0.35</v>
      </c>
      <c r="AG39" s="273">
        <v>0.40500000000000003</v>
      </c>
      <c r="AH39" s="273" t="s">
        <v>388</v>
      </c>
      <c r="AI39" s="278" t="s">
        <v>1214</v>
      </c>
    </row>
    <row r="40" spans="1:35" ht="15.95" customHeight="1" x14ac:dyDescent="0.2">
      <c r="A40" s="275">
        <v>36</v>
      </c>
      <c r="B40" s="275" t="s">
        <v>1180</v>
      </c>
      <c r="C40" s="275">
        <v>36</v>
      </c>
      <c r="D40" s="275" t="s">
        <v>1313</v>
      </c>
      <c r="E40" s="275" t="s">
        <v>1090</v>
      </c>
      <c r="F40" s="275" t="s">
        <v>899</v>
      </c>
      <c r="G40" s="275" t="s">
        <v>1314</v>
      </c>
      <c r="H40" s="275" t="s">
        <v>1124</v>
      </c>
      <c r="I40" s="275" t="s">
        <v>1256</v>
      </c>
      <c r="J40" s="275" t="s">
        <v>1203</v>
      </c>
      <c r="K40" s="275" t="s">
        <v>1315</v>
      </c>
      <c r="L40" s="275" t="s">
        <v>975</v>
      </c>
      <c r="M40" s="275">
        <v>8.5</v>
      </c>
      <c r="N40" s="275">
        <v>1.6</v>
      </c>
      <c r="O40" s="275">
        <v>13.6</v>
      </c>
      <c r="P40" s="275">
        <v>4</v>
      </c>
      <c r="Q40" s="275">
        <v>3.5</v>
      </c>
      <c r="R40" s="275">
        <v>7.5</v>
      </c>
      <c r="S40" s="275">
        <v>14</v>
      </c>
      <c r="T40" s="275">
        <v>1.8132999999999999</v>
      </c>
      <c r="U40" s="275">
        <v>0.97140000000000004</v>
      </c>
      <c r="V40" s="275">
        <v>1.8667</v>
      </c>
      <c r="W40" s="274" t="s">
        <v>1182</v>
      </c>
      <c r="X40" s="275" t="s">
        <v>371</v>
      </c>
      <c r="Y40" s="275" t="s">
        <v>371</v>
      </c>
      <c r="Z40" s="275" t="s">
        <v>371</v>
      </c>
      <c r="AA40" s="275" t="s">
        <v>371</v>
      </c>
      <c r="AB40" s="275">
        <v>0.85</v>
      </c>
      <c r="AC40" s="275">
        <v>0.16</v>
      </c>
      <c r="AD40" s="275">
        <v>0.4</v>
      </c>
      <c r="AE40" s="275">
        <v>0.13600000000000001</v>
      </c>
      <c r="AF40" s="275">
        <v>0.35</v>
      </c>
      <c r="AG40" s="275">
        <v>0.34</v>
      </c>
      <c r="AH40" s="275" t="s">
        <v>388</v>
      </c>
      <c r="AI40" s="278" t="s">
        <v>1214</v>
      </c>
    </row>
    <row r="41" spans="1:35" ht="15.95" customHeight="1" x14ac:dyDescent="0.2">
      <c r="A41" s="273">
        <v>37</v>
      </c>
      <c r="B41" s="273" t="s">
        <v>1180</v>
      </c>
      <c r="C41" s="273">
        <v>37</v>
      </c>
      <c r="D41" s="273" t="s">
        <v>1316</v>
      </c>
      <c r="E41" s="273" t="s">
        <v>1095</v>
      </c>
      <c r="F41" s="273" t="s">
        <v>880</v>
      </c>
      <c r="G41" s="273" t="s">
        <v>1264</v>
      </c>
      <c r="H41" s="273" t="s">
        <v>1124</v>
      </c>
      <c r="I41" s="273" t="s">
        <v>1256</v>
      </c>
      <c r="J41" s="273" t="s">
        <v>1203</v>
      </c>
      <c r="K41" s="273" t="s">
        <v>1317</v>
      </c>
      <c r="L41" s="273" t="s">
        <v>980</v>
      </c>
      <c r="M41" s="273">
        <v>9</v>
      </c>
      <c r="N41" s="273">
        <v>1</v>
      </c>
      <c r="O41" s="273">
        <v>9</v>
      </c>
      <c r="P41" s="273">
        <v>5.5</v>
      </c>
      <c r="Q41" s="273">
        <v>5</v>
      </c>
      <c r="R41" s="273">
        <v>10.5</v>
      </c>
      <c r="S41" s="273">
        <v>27.5</v>
      </c>
      <c r="T41" s="273">
        <v>0.85709999999999997</v>
      </c>
      <c r="U41" s="273">
        <v>0.32729999999999998</v>
      </c>
      <c r="V41" s="273">
        <v>2.6187</v>
      </c>
      <c r="W41" s="277" t="s">
        <v>1197</v>
      </c>
      <c r="X41" s="273" t="s">
        <v>371</v>
      </c>
      <c r="Y41" s="273" t="s">
        <v>371</v>
      </c>
      <c r="Z41" s="273" t="s">
        <v>371</v>
      </c>
      <c r="AA41" s="273" t="s">
        <v>371</v>
      </c>
      <c r="AB41" s="273">
        <v>0.9</v>
      </c>
      <c r="AC41" s="273">
        <v>0.1</v>
      </c>
      <c r="AD41" s="273">
        <v>0.55000000000000004</v>
      </c>
      <c r="AE41" s="273">
        <v>0.09</v>
      </c>
      <c r="AF41" s="273">
        <v>0.5</v>
      </c>
      <c r="AG41" s="273">
        <v>0.1636</v>
      </c>
      <c r="AH41" s="273" t="s">
        <v>388</v>
      </c>
      <c r="AI41" s="278" t="s">
        <v>1240</v>
      </c>
    </row>
    <row r="42" spans="1:35" ht="21.95" customHeight="1" x14ac:dyDescent="0.2">
      <c r="A42" s="457" t="s">
        <v>1318</v>
      </c>
      <c r="B42" s="416"/>
      <c r="C42" s="416"/>
      <c r="D42" s="416"/>
      <c r="E42" s="416"/>
      <c r="F42" s="416"/>
      <c r="G42" s="416"/>
      <c r="H42" s="416"/>
      <c r="I42" s="416"/>
      <c r="J42" s="416"/>
      <c r="K42" s="416"/>
      <c r="L42" s="416"/>
      <c r="M42" s="416"/>
      <c r="N42" s="416"/>
      <c r="O42" s="416"/>
      <c r="P42" s="416"/>
      <c r="Q42" s="416"/>
      <c r="R42" s="416"/>
      <c r="S42" s="416"/>
      <c r="T42" s="416"/>
      <c r="U42" s="416"/>
      <c r="V42" s="416"/>
      <c r="W42" s="416"/>
      <c r="X42" s="416"/>
      <c r="Y42" s="416"/>
      <c r="Z42" s="416"/>
      <c r="AA42" s="416"/>
      <c r="AB42" s="416"/>
      <c r="AC42" s="416"/>
      <c r="AD42" s="416"/>
      <c r="AE42" s="416"/>
      <c r="AF42" s="416"/>
      <c r="AG42" s="416"/>
      <c r="AH42" s="416"/>
      <c r="AI42" s="416"/>
    </row>
    <row r="43" spans="1:35" ht="15.95" customHeight="1" x14ac:dyDescent="0.2">
      <c r="A43" s="279">
        <v>38</v>
      </c>
      <c r="B43" s="279" t="s">
        <v>1319</v>
      </c>
      <c r="C43" s="279">
        <v>1</v>
      </c>
      <c r="D43" s="279" t="s">
        <v>1320</v>
      </c>
      <c r="E43" s="279" t="s">
        <v>1108</v>
      </c>
      <c r="F43" s="279" t="s">
        <v>1321</v>
      </c>
      <c r="G43" s="279" t="s">
        <v>1322</v>
      </c>
      <c r="H43" s="279" t="s">
        <v>941</v>
      </c>
      <c r="I43" s="279" t="s">
        <v>371</v>
      </c>
      <c r="J43" s="279" t="s">
        <v>371</v>
      </c>
      <c r="K43" s="279" t="s">
        <v>371</v>
      </c>
      <c r="L43" s="279" t="s">
        <v>371</v>
      </c>
      <c r="M43" s="279">
        <v>8</v>
      </c>
      <c r="N43" s="279">
        <v>7</v>
      </c>
      <c r="O43" s="279">
        <v>56</v>
      </c>
      <c r="P43" s="279">
        <v>4</v>
      </c>
      <c r="Q43" s="279">
        <v>3.2</v>
      </c>
      <c r="R43" s="279">
        <v>7.2</v>
      </c>
      <c r="S43" s="279">
        <v>12.8</v>
      </c>
      <c r="T43" s="279">
        <v>7.7778</v>
      </c>
      <c r="U43" s="279">
        <v>4.375</v>
      </c>
      <c r="V43" s="279">
        <v>1.7778</v>
      </c>
      <c r="W43" s="274" t="s">
        <v>1182</v>
      </c>
      <c r="X43" s="279" t="s">
        <v>371</v>
      </c>
      <c r="Y43" s="279" t="s">
        <v>371</v>
      </c>
      <c r="Z43" s="279" t="s">
        <v>371</v>
      </c>
      <c r="AA43" s="279" t="s">
        <v>371</v>
      </c>
      <c r="AB43" s="279">
        <v>0.8</v>
      </c>
      <c r="AC43" s="279">
        <v>0.7</v>
      </c>
      <c r="AD43" s="279">
        <v>0.4</v>
      </c>
      <c r="AE43" s="279">
        <v>0.56000000000000005</v>
      </c>
      <c r="AF43" s="279">
        <v>0.32</v>
      </c>
      <c r="AG43" s="279">
        <v>1.4</v>
      </c>
      <c r="AH43" s="279" t="s">
        <v>1109</v>
      </c>
      <c r="AI43" s="276" t="s">
        <v>1323</v>
      </c>
    </row>
    <row r="44" spans="1:35" ht="15.95" customHeight="1" x14ac:dyDescent="0.2">
      <c r="A44" s="280">
        <v>39</v>
      </c>
      <c r="B44" s="280" t="s">
        <v>1319</v>
      </c>
      <c r="C44" s="280">
        <v>2</v>
      </c>
      <c r="D44" s="280" t="s">
        <v>1320</v>
      </c>
      <c r="E44" s="280" t="s">
        <v>1110</v>
      </c>
      <c r="F44" s="280" t="s">
        <v>1321</v>
      </c>
      <c r="G44" s="280" t="s">
        <v>1322</v>
      </c>
      <c r="H44" s="280" t="s">
        <v>984</v>
      </c>
      <c r="I44" s="280" t="s">
        <v>371</v>
      </c>
      <c r="J44" s="280" t="s">
        <v>371</v>
      </c>
      <c r="K44" s="280" t="s">
        <v>371</v>
      </c>
      <c r="L44" s="280" t="s">
        <v>371</v>
      </c>
      <c r="M44" s="280">
        <v>7.5</v>
      </c>
      <c r="N44" s="280">
        <v>8</v>
      </c>
      <c r="O44" s="280">
        <v>60</v>
      </c>
      <c r="P44" s="280">
        <v>3.5</v>
      </c>
      <c r="Q44" s="280">
        <v>3.5</v>
      </c>
      <c r="R44" s="280">
        <v>7</v>
      </c>
      <c r="S44" s="280">
        <v>12.25</v>
      </c>
      <c r="T44" s="280">
        <v>8.5714000000000006</v>
      </c>
      <c r="U44" s="280">
        <v>4.8979999999999997</v>
      </c>
      <c r="V44" s="280">
        <v>1.75</v>
      </c>
      <c r="W44" s="274" t="s">
        <v>1182</v>
      </c>
      <c r="X44" s="280" t="s">
        <v>371</v>
      </c>
      <c r="Y44" s="280" t="s">
        <v>371</v>
      </c>
      <c r="Z44" s="280" t="s">
        <v>371</v>
      </c>
      <c r="AA44" s="280" t="s">
        <v>371</v>
      </c>
      <c r="AB44" s="280">
        <v>0.75</v>
      </c>
      <c r="AC44" s="280">
        <v>0.8</v>
      </c>
      <c r="AD44" s="280">
        <v>0.35</v>
      </c>
      <c r="AE44" s="280">
        <v>0.6</v>
      </c>
      <c r="AF44" s="280">
        <v>0.35</v>
      </c>
      <c r="AG44" s="280">
        <v>1.7142999999999999</v>
      </c>
      <c r="AH44" s="280" t="s">
        <v>1109</v>
      </c>
      <c r="AI44" s="276" t="s">
        <v>1324</v>
      </c>
    </row>
    <row r="45" spans="1:35" ht="15.95" customHeight="1" x14ac:dyDescent="0.2">
      <c r="A45" s="279">
        <v>40</v>
      </c>
      <c r="B45" s="279" t="s">
        <v>1319</v>
      </c>
      <c r="C45" s="279">
        <v>3</v>
      </c>
      <c r="D45" s="279" t="s">
        <v>1320</v>
      </c>
      <c r="E45" s="279" t="s">
        <v>1111</v>
      </c>
      <c r="F45" s="279" t="s">
        <v>1321</v>
      </c>
      <c r="G45" s="279" t="s">
        <v>1322</v>
      </c>
      <c r="H45" s="279" t="s">
        <v>1112</v>
      </c>
      <c r="I45" s="279" t="s">
        <v>371</v>
      </c>
      <c r="J45" s="279" t="s">
        <v>371</v>
      </c>
      <c r="K45" s="279" t="s">
        <v>371</v>
      </c>
      <c r="L45" s="279" t="s">
        <v>371</v>
      </c>
      <c r="M45" s="279">
        <v>8.5</v>
      </c>
      <c r="N45" s="279">
        <v>6</v>
      </c>
      <c r="O45" s="279">
        <v>51</v>
      </c>
      <c r="P45" s="279">
        <v>5</v>
      </c>
      <c r="Q45" s="279">
        <v>3.8</v>
      </c>
      <c r="R45" s="279">
        <v>8.8000000000000007</v>
      </c>
      <c r="S45" s="279">
        <v>19</v>
      </c>
      <c r="T45" s="279">
        <v>5.7954999999999997</v>
      </c>
      <c r="U45" s="279">
        <v>2.6842000000000001</v>
      </c>
      <c r="V45" s="279">
        <v>2.1591</v>
      </c>
      <c r="W45" s="277" t="s">
        <v>1197</v>
      </c>
      <c r="X45" s="279" t="s">
        <v>371</v>
      </c>
      <c r="Y45" s="279" t="s">
        <v>371</v>
      </c>
      <c r="Z45" s="279" t="s">
        <v>371</v>
      </c>
      <c r="AA45" s="279" t="s">
        <v>371</v>
      </c>
      <c r="AB45" s="279">
        <v>0.85</v>
      </c>
      <c r="AC45" s="279">
        <v>0.6</v>
      </c>
      <c r="AD45" s="279">
        <v>0.5</v>
      </c>
      <c r="AE45" s="279">
        <v>0.51</v>
      </c>
      <c r="AF45" s="279">
        <v>0.38</v>
      </c>
      <c r="AG45" s="279">
        <v>1.02</v>
      </c>
      <c r="AH45" s="279" t="s">
        <v>1109</v>
      </c>
      <c r="AI45" s="276" t="s">
        <v>1325</v>
      </c>
    </row>
    <row r="46" spans="1:35" ht="15.95" customHeight="1" x14ac:dyDescent="0.2">
      <c r="A46" s="280">
        <v>41</v>
      </c>
      <c r="B46" s="280" t="s">
        <v>1319</v>
      </c>
      <c r="C46" s="280">
        <v>4</v>
      </c>
      <c r="D46" s="280" t="s">
        <v>1320</v>
      </c>
      <c r="E46" s="280" t="s">
        <v>1113</v>
      </c>
      <c r="F46" s="280" t="s">
        <v>1321</v>
      </c>
      <c r="G46" s="280" t="s">
        <v>1322</v>
      </c>
      <c r="H46" s="280" t="s">
        <v>1114</v>
      </c>
      <c r="I46" s="280" t="s">
        <v>371</v>
      </c>
      <c r="J46" s="280" t="s">
        <v>371</v>
      </c>
      <c r="K46" s="280" t="s">
        <v>371</v>
      </c>
      <c r="L46" s="280" t="s">
        <v>371</v>
      </c>
      <c r="M46" s="280">
        <v>7</v>
      </c>
      <c r="N46" s="280">
        <v>7.5</v>
      </c>
      <c r="O46" s="280">
        <v>52.5</v>
      </c>
      <c r="P46" s="280">
        <v>3</v>
      </c>
      <c r="Q46" s="280">
        <v>3.5</v>
      </c>
      <c r="R46" s="280">
        <v>6.5</v>
      </c>
      <c r="S46" s="280">
        <v>10.5</v>
      </c>
      <c r="T46" s="280">
        <v>8.0769000000000002</v>
      </c>
      <c r="U46" s="280">
        <v>5</v>
      </c>
      <c r="V46" s="280">
        <v>1.6153999999999999</v>
      </c>
      <c r="W46" s="274" t="s">
        <v>1182</v>
      </c>
      <c r="X46" s="280" t="s">
        <v>371</v>
      </c>
      <c r="Y46" s="280" t="s">
        <v>371</v>
      </c>
      <c r="Z46" s="280" t="s">
        <v>371</v>
      </c>
      <c r="AA46" s="280" t="s">
        <v>371</v>
      </c>
      <c r="AB46" s="280">
        <v>0.7</v>
      </c>
      <c r="AC46" s="280">
        <v>0.75</v>
      </c>
      <c r="AD46" s="280">
        <v>0.3</v>
      </c>
      <c r="AE46" s="280">
        <v>0.52500000000000002</v>
      </c>
      <c r="AF46" s="280">
        <v>0.35</v>
      </c>
      <c r="AG46" s="280">
        <v>1.75</v>
      </c>
      <c r="AH46" s="280" t="s">
        <v>1109</v>
      </c>
      <c r="AI46" s="276" t="s">
        <v>1326</v>
      </c>
    </row>
    <row r="47" spans="1:35" ht="15.95" customHeight="1" x14ac:dyDescent="0.2">
      <c r="A47" s="279">
        <v>42</v>
      </c>
      <c r="B47" s="279" t="s">
        <v>1319</v>
      </c>
      <c r="C47" s="279">
        <v>5</v>
      </c>
      <c r="D47" s="279" t="s">
        <v>1320</v>
      </c>
      <c r="E47" s="279" t="s">
        <v>1115</v>
      </c>
      <c r="F47" s="279" t="s">
        <v>1321</v>
      </c>
      <c r="G47" s="279" t="s">
        <v>1322</v>
      </c>
      <c r="H47" s="279" t="s">
        <v>919</v>
      </c>
      <c r="I47" s="279" t="s">
        <v>371</v>
      </c>
      <c r="J47" s="279" t="s">
        <v>371</v>
      </c>
      <c r="K47" s="279" t="s">
        <v>371</v>
      </c>
      <c r="L47" s="279" t="s">
        <v>371</v>
      </c>
      <c r="M47" s="279">
        <v>8</v>
      </c>
      <c r="N47" s="279">
        <v>8.5</v>
      </c>
      <c r="O47" s="279">
        <v>68</v>
      </c>
      <c r="P47" s="279">
        <v>2.5</v>
      </c>
      <c r="Q47" s="279">
        <v>3.2</v>
      </c>
      <c r="R47" s="279">
        <v>5.7</v>
      </c>
      <c r="S47" s="279">
        <v>8</v>
      </c>
      <c r="T47" s="279">
        <v>11.9298</v>
      </c>
      <c r="U47" s="279">
        <v>8.5</v>
      </c>
      <c r="V47" s="279">
        <v>1.4035</v>
      </c>
      <c r="W47" s="274" t="s">
        <v>1182</v>
      </c>
      <c r="X47" s="279" t="s">
        <v>371</v>
      </c>
      <c r="Y47" s="279" t="s">
        <v>371</v>
      </c>
      <c r="Z47" s="279" t="s">
        <v>371</v>
      </c>
      <c r="AA47" s="279" t="s">
        <v>371</v>
      </c>
      <c r="AB47" s="279">
        <v>0.8</v>
      </c>
      <c r="AC47" s="279">
        <v>0.85</v>
      </c>
      <c r="AD47" s="279">
        <v>0.25</v>
      </c>
      <c r="AE47" s="279">
        <v>0.68</v>
      </c>
      <c r="AF47" s="279">
        <v>0.32</v>
      </c>
      <c r="AG47" s="279">
        <v>2.72</v>
      </c>
      <c r="AH47" s="279" t="s">
        <v>1116</v>
      </c>
      <c r="AI47" s="274" t="s">
        <v>1327</v>
      </c>
    </row>
    <row r="48" spans="1:35" ht="15.95" customHeight="1" x14ac:dyDescent="0.2">
      <c r="A48" s="280">
        <v>43</v>
      </c>
      <c r="B48" s="280" t="s">
        <v>1319</v>
      </c>
      <c r="C48" s="280">
        <v>6</v>
      </c>
      <c r="D48" s="280" t="s">
        <v>1320</v>
      </c>
      <c r="E48" s="280" t="s">
        <v>1117</v>
      </c>
      <c r="F48" s="280" t="s">
        <v>1321</v>
      </c>
      <c r="G48" s="280" t="s">
        <v>1322</v>
      </c>
      <c r="H48" s="280" t="s">
        <v>1118</v>
      </c>
      <c r="I48" s="280" t="s">
        <v>371</v>
      </c>
      <c r="J48" s="280" t="s">
        <v>371</v>
      </c>
      <c r="K48" s="280" t="s">
        <v>371</v>
      </c>
      <c r="L48" s="280" t="s">
        <v>371</v>
      </c>
      <c r="M48" s="280">
        <v>7.5</v>
      </c>
      <c r="N48" s="280">
        <v>7</v>
      </c>
      <c r="O48" s="280">
        <v>52.5</v>
      </c>
      <c r="P48" s="280">
        <v>4</v>
      </c>
      <c r="Q48" s="280">
        <v>3.5</v>
      </c>
      <c r="R48" s="280">
        <v>7.5</v>
      </c>
      <c r="S48" s="280">
        <v>14</v>
      </c>
      <c r="T48" s="280">
        <v>7</v>
      </c>
      <c r="U48" s="280">
        <v>3.75</v>
      </c>
      <c r="V48" s="280">
        <v>1.8667</v>
      </c>
      <c r="W48" s="274" t="s">
        <v>1182</v>
      </c>
      <c r="X48" s="280" t="s">
        <v>371</v>
      </c>
      <c r="Y48" s="280" t="s">
        <v>371</v>
      </c>
      <c r="Z48" s="280" t="s">
        <v>371</v>
      </c>
      <c r="AA48" s="280" t="s">
        <v>371</v>
      </c>
      <c r="AB48" s="280">
        <v>0.75</v>
      </c>
      <c r="AC48" s="280">
        <v>0.7</v>
      </c>
      <c r="AD48" s="280">
        <v>0.4</v>
      </c>
      <c r="AE48" s="280">
        <v>0.52500000000000002</v>
      </c>
      <c r="AF48" s="280">
        <v>0.35</v>
      </c>
      <c r="AG48" s="280">
        <v>1.3125</v>
      </c>
      <c r="AH48" s="280" t="s">
        <v>1109</v>
      </c>
      <c r="AI48" s="276" t="s">
        <v>1328</v>
      </c>
    </row>
    <row r="49" spans="1:35" ht="15.95" customHeight="1" x14ac:dyDescent="0.2">
      <c r="A49" s="279">
        <v>44</v>
      </c>
      <c r="B49" s="279" t="s">
        <v>1319</v>
      </c>
      <c r="C49" s="279">
        <v>7</v>
      </c>
      <c r="D49" s="279" t="s">
        <v>1320</v>
      </c>
      <c r="E49" s="279" t="s">
        <v>1119</v>
      </c>
      <c r="F49" s="279" t="s">
        <v>1321</v>
      </c>
      <c r="G49" s="279" t="s">
        <v>1322</v>
      </c>
      <c r="H49" s="279" t="s">
        <v>919</v>
      </c>
      <c r="I49" s="279" t="s">
        <v>371</v>
      </c>
      <c r="J49" s="279" t="s">
        <v>371</v>
      </c>
      <c r="K49" s="279" t="s">
        <v>371</v>
      </c>
      <c r="L49" s="279" t="s">
        <v>371</v>
      </c>
      <c r="M49" s="279">
        <v>6</v>
      </c>
      <c r="N49" s="279">
        <v>5</v>
      </c>
      <c r="O49" s="279">
        <v>30</v>
      </c>
      <c r="P49" s="279">
        <v>6.8</v>
      </c>
      <c r="Q49" s="279">
        <v>4.5</v>
      </c>
      <c r="R49" s="279">
        <v>11.3</v>
      </c>
      <c r="S49" s="279">
        <v>30.6</v>
      </c>
      <c r="T49" s="279">
        <v>2.6549</v>
      </c>
      <c r="U49" s="279">
        <v>0.98040000000000005</v>
      </c>
      <c r="V49" s="279">
        <v>2.7080000000000002</v>
      </c>
      <c r="W49" s="277" t="s">
        <v>1197</v>
      </c>
      <c r="X49" s="279" t="s">
        <v>371</v>
      </c>
      <c r="Y49" s="279" t="s">
        <v>371</v>
      </c>
      <c r="Z49" s="279" t="s">
        <v>371</v>
      </c>
      <c r="AA49" s="279" t="s">
        <v>371</v>
      </c>
      <c r="AB49" s="279">
        <v>0.6</v>
      </c>
      <c r="AC49" s="279">
        <v>0.5</v>
      </c>
      <c r="AD49" s="279">
        <v>0.68</v>
      </c>
      <c r="AE49" s="279">
        <v>0.3</v>
      </c>
      <c r="AF49" s="279">
        <v>0.45</v>
      </c>
      <c r="AG49" s="279">
        <v>0.44119999999999998</v>
      </c>
      <c r="AH49" s="279" t="s">
        <v>388</v>
      </c>
      <c r="AI49" s="278" t="s">
        <v>1329</v>
      </c>
    </row>
    <row r="50" spans="1:35" ht="15.95" customHeight="1" x14ac:dyDescent="0.2">
      <c r="A50" s="280">
        <v>45</v>
      </c>
      <c r="B50" s="280" t="s">
        <v>1319</v>
      </c>
      <c r="C50" s="280">
        <v>8</v>
      </c>
      <c r="D50" s="280" t="s">
        <v>1320</v>
      </c>
      <c r="E50" s="280" t="s">
        <v>1120</v>
      </c>
      <c r="F50" s="280" t="s">
        <v>1321</v>
      </c>
      <c r="G50" s="280" t="s">
        <v>1322</v>
      </c>
      <c r="H50" s="280" t="s">
        <v>972</v>
      </c>
      <c r="I50" s="280" t="s">
        <v>371</v>
      </c>
      <c r="J50" s="280" t="s">
        <v>371</v>
      </c>
      <c r="K50" s="280" t="s">
        <v>371</v>
      </c>
      <c r="L50" s="280" t="s">
        <v>371</v>
      </c>
      <c r="M50" s="280">
        <v>8.5</v>
      </c>
      <c r="N50" s="280">
        <v>8</v>
      </c>
      <c r="O50" s="280">
        <v>68</v>
      </c>
      <c r="P50" s="280">
        <v>2</v>
      </c>
      <c r="Q50" s="280">
        <v>2.8</v>
      </c>
      <c r="R50" s="280">
        <v>4.8</v>
      </c>
      <c r="S50" s="280">
        <v>5.6</v>
      </c>
      <c r="T50" s="280">
        <v>14.166700000000001</v>
      </c>
      <c r="U50" s="280">
        <v>12.142899999999999</v>
      </c>
      <c r="V50" s="280">
        <v>1.1667000000000001</v>
      </c>
      <c r="W50" s="274" t="s">
        <v>1182</v>
      </c>
      <c r="X50" s="280" t="s">
        <v>371</v>
      </c>
      <c r="Y50" s="280" t="s">
        <v>371</v>
      </c>
      <c r="Z50" s="280" t="s">
        <v>371</v>
      </c>
      <c r="AA50" s="280" t="s">
        <v>371</v>
      </c>
      <c r="AB50" s="280">
        <v>0.85</v>
      </c>
      <c r="AC50" s="280">
        <v>0.8</v>
      </c>
      <c r="AD50" s="280">
        <v>0.2</v>
      </c>
      <c r="AE50" s="280">
        <v>0.68</v>
      </c>
      <c r="AF50" s="280">
        <v>0.28000000000000003</v>
      </c>
      <c r="AG50" s="280">
        <v>3.4</v>
      </c>
      <c r="AH50" s="280" t="s">
        <v>1116</v>
      </c>
      <c r="AI50" s="274" t="s">
        <v>1330</v>
      </c>
    </row>
    <row r="51" spans="1:35" ht="15.95" customHeight="1" x14ac:dyDescent="0.2">
      <c r="A51" s="279">
        <v>46</v>
      </c>
      <c r="B51" s="279" t="s">
        <v>1319</v>
      </c>
      <c r="C51" s="279">
        <v>9</v>
      </c>
      <c r="D51" s="279" t="s">
        <v>1320</v>
      </c>
      <c r="E51" s="279" t="s">
        <v>1121</v>
      </c>
      <c r="F51" s="279" t="s">
        <v>1321</v>
      </c>
      <c r="G51" s="279" t="s">
        <v>1322</v>
      </c>
      <c r="H51" s="279" t="s">
        <v>1122</v>
      </c>
      <c r="I51" s="279" t="s">
        <v>371</v>
      </c>
      <c r="J51" s="279" t="s">
        <v>371</v>
      </c>
      <c r="K51" s="279" t="s">
        <v>371</v>
      </c>
      <c r="L51" s="279" t="s">
        <v>371</v>
      </c>
      <c r="M51" s="279">
        <v>8</v>
      </c>
      <c r="N51" s="279">
        <v>7</v>
      </c>
      <c r="O51" s="279">
        <v>56</v>
      </c>
      <c r="P51" s="279">
        <v>3.5</v>
      </c>
      <c r="Q51" s="279">
        <v>3</v>
      </c>
      <c r="R51" s="279">
        <v>6.5</v>
      </c>
      <c r="S51" s="279">
        <v>10.5</v>
      </c>
      <c r="T51" s="279">
        <v>8.6153999999999993</v>
      </c>
      <c r="U51" s="279">
        <v>5.3333000000000004</v>
      </c>
      <c r="V51" s="279">
        <v>1.6153999999999999</v>
      </c>
      <c r="W51" s="274" t="s">
        <v>1182</v>
      </c>
      <c r="X51" s="279" t="s">
        <v>371</v>
      </c>
      <c r="Y51" s="279" t="s">
        <v>371</v>
      </c>
      <c r="Z51" s="279" t="s">
        <v>371</v>
      </c>
      <c r="AA51" s="279" t="s">
        <v>371</v>
      </c>
      <c r="AB51" s="279">
        <v>0.8</v>
      </c>
      <c r="AC51" s="279">
        <v>0.7</v>
      </c>
      <c r="AD51" s="279">
        <v>0.35</v>
      </c>
      <c r="AE51" s="279">
        <v>0.56000000000000005</v>
      </c>
      <c r="AF51" s="279">
        <v>0.3</v>
      </c>
      <c r="AG51" s="279">
        <v>1.6</v>
      </c>
      <c r="AH51" s="279" t="s">
        <v>1109</v>
      </c>
      <c r="AI51" s="276" t="s">
        <v>1331</v>
      </c>
    </row>
    <row r="52" spans="1:35" ht="15.95" customHeight="1" x14ac:dyDescent="0.2">
      <c r="A52" s="280">
        <v>47</v>
      </c>
      <c r="B52" s="280" t="s">
        <v>1319</v>
      </c>
      <c r="C52" s="280">
        <v>10</v>
      </c>
      <c r="D52" s="280" t="s">
        <v>1320</v>
      </c>
      <c r="E52" s="280" t="s">
        <v>1123</v>
      </c>
      <c r="F52" s="280" t="s">
        <v>1321</v>
      </c>
      <c r="G52" s="280" t="s">
        <v>1322</v>
      </c>
      <c r="H52" s="280" t="s">
        <v>1124</v>
      </c>
      <c r="I52" s="280" t="s">
        <v>371</v>
      </c>
      <c r="J52" s="280" t="s">
        <v>371</v>
      </c>
      <c r="K52" s="280" t="s">
        <v>371</v>
      </c>
      <c r="L52" s="280" t="s">
        <v>371</v>
      </c>
      <c r="M52" s="280">
        <v>9</v>
      </c>
      <c r="N52" s="280">
        <v>8.5</v>
      </c>
      <c r="O52" s="280">
        <v>76.5</v>
      </c>
      <c r="P52" s="280">
        <v>2.8</v>
      </c>
      <c r="Q52" s="280">
        <v>3</v>
      </c>
      <c r="R52" s="280">
        <v>5.8</v>
      </c>
      <c r="S52" s="280">
        <v>8.4</v>
      </c>
      <c r="T52" s="280">
        <v>13.1897</v>
      </c>
      <c r="U52" s="280">
        <v>9.1071000000000009</v>
      </c>
      <c r="V52" s="280">
        <v>1.4482999999999999</v>
      </c>
      <c r="W52" s="274" t="s">
        <v>1182</v>
      </c>
      <c r="X52" s="280" t="s">
        <v>371</v>
      </c>
      <c r="Y52" s="280" t="s">
        <v>371</v>
      </c>
      <c r="Z52" s="280" t="s">
        <v>371</v>
      </c>
      <c r="AA52" s="280" t="s">
        <v>371</v>
      </c>
      <c r="AB52" s="280">
        <v>0.9</v>
      </c>
      <c r="AC52" s="280">
        <v>0.85</v>
      </c>
      <c r="AD52" s="280">
        <v>0.28000000000000003</v>
      </c>
      <c r="AE52" s="280">
        <v>0.76500000000000001</v>
      </c>
      <c r="AF52" s="280">
        <v>0.3</v>
      </c>
      <c r="AG52" s="280">
        <v>2.7321</v>
      </c>
      <c r="AH52" s="280" t="s">
        <v>1116</v>
      </c>
      <c r="AI52" s="274" t="s">
        <v>1332</v>
      </c>
    </row>
    <row r="53" spans="1:35" ht="15.95" customHeight="1" x14ac:dyDescent="0.2">
      <c r="A53" s="279">
        <v>48</v>
      </c>
      <c r="B53" s="279" t="s">
        <v>1319</v>
      </c>
      <c r="C53" s="279">
        <v>11</v>
      </c>
      <c r="D53" s="279" t="s">
        <v>1320</v>
      </c>
      <c r="E53" s="279" t="s">
        <v>1125</v>
      </c>
      <c r="F53" s="279" t="s">
        <v>1321</v>
      </c>
      <c r="G53" s="279" t="s">
        <v>1322</v>
      </c>
      <c r="H53" s="279" t="s">
        <v>962</v>
      </c>
      <c r="I53" s="279" t="s">
        <v>371</v>
      </c>
      <c r="J53" s="279" t="s">
        <v>371</v>
      </c>
      <c r="K53" s="279" t="s">
        <v>371</v>
      </c>
      <c r="L53" s="279" t="s">
        <v>371</v>
      </c>
      <c r="M53" s="279">
        <v>7.5</v>
      </c>
      <c r="N53" s="279">
        <v>6.5</v>
      </c>
      <c r="O53" s="279">
        <v>48.75</v>
      </c>
      <c r="P53" s="279">
        <v>4.5</v>
      </c>
      <c r="Q53" s="279">
        <v>4</v>
      </c>
      <c r="R53" s="279">
        <v>8.5</v>
      </c>
      <c r="S53" s="279">
        <v>18</v>
      </c>
      <c r="T53" s="279">
        <v>5.7352999999999996</v>
      </c>
      <c r="U53" s="279">
        <v>2.7082999999999999</v>
      </c>
      <c r="V53" s="279">
        <v>2.1177000000000001</v>
      </c>
      <c r="W53" s="277" t="s">
        <v>1197</v>
      </c>
      <c r="X53" s="279" t="s">
        <v>371</v>
      </c>
      <c r="Y53" s="279" t="s">
        <v>371</v>
      </c>
      <c r="Z53" s="279" t="s">
        <v>371</v>
      </c>
      <c r="AA53" s="279" t="s">
        <v>371</v>
      </c>
      <c r="AB53" s="279">
        <v>0.75</v>
      </c>
      <c r="AC53" s="279">
        <v>0.65</v>
      </c>
      <c r="AD53" s="279">
        <v>0.45</v>
      </c>
      <c r="AE53" s="279">
        <v>0.48749999999999999</v>
      </c>
      <c r="AF53" s="279">
        <v>0.4</v>
      </c>
      <c r="AG53" s="279">
        <v>1.0832999999999999</v>
      </c>
      <c r="AH53" s="279" t="s">
        <v>1109</v>
      </c>
      <c r="AI53" s="276" t="s">
        <v>1333</v>
      </c>
    </row>
    <row r="54" spans="1:35" ht="15.95" customHeight="1" x14ac:dyDescent="0.2">
      <c r="A54" s="280">
        <v>49</v>
      </c>
      <c r="B54" s="280" t="s">
        <v>1319</v>
      </c>
      <c r="C54" s="280">
        <v>12</v>
      </c>
      <c r="D54" s="280" t="s">
        <v>1320</v>
      </c>
      <c r="E54" s="280" t="s">
        <v>1126</v>
      </c>
      <c r="F54" s="280" t="s">
        <v>1321</v>
      </c>
      <c r="G54" s="280" t="s">
        <v>1322</v>
      </c>
      <c r="H54" s="280" t="s">
        <v>1122</v>
      </c>
      <c r="I54" s="280" t="s">
        <v>371</v>
      </c>
      <c r="J54" s="280" t="s">
        <v>371</v>
      </c>
      <c r="K54" s="280" t="s">
        <v>371</v>
      </c>
      <c r="L54" s="280" t="s">
        <v>371</v>
      </c>
      <c r="M54" s="280">
        <v>8</v>
      </c>
      <c r="N54" s="280">
        <v>7.5</v>
      </c>
      <c r="O54" s="280">
        <v>60</v>
      </c>
      <c r="P54" s="280">
        <v>3</v>
      </c>
      <c r="Q54" s="280">
        <v>3.5</v>
      </c>
      <c r="R54" s="280">
        <v>6.5</v>
      </c>
      <c r="S54" s="280">
        <v>10.5</v>
      </c>
      <c r="T54" s="280">
        <v>9.2308000000000003</v>
      </c>
      <c r="U54" s="280">
        <v>5.7142999999999997</v>
      </c>
      <c r="V54" s="280">
        <v>1.6153999999999999</v>
      </c>
      <c r="W54" s="274" t="s">
        <v>1182</v>
      </c>
      <c r="X54" s="280" t="s">
        <v>371</v>
      </c>
      <c r="Y54" s="280" t="s">
        <v>371</v>
      </c>
      <c r="Z54" s="280" t="s">
        <v>371</v>
      </c>
      <c r="AA54" s="280" t="s">
        <v>371</v>
      </c>
      <c r="AB54" s="280">
        <v>0.8</v>
      </c>
      <c r="AC54" s="280">
        <v>0.75</v>
      </c>
      <c r="AD54" s="280">
        <v>0.3</v>
      </c>
      <c r="AE54" s="280">
        <v>0.6</v>
      </c>
      <c r="AF54" s="280">
        <v>0.35</v>
      </c>
      <c r="AG54" s="280">
        <v>2</v>
      </c>
      <c r="AH54" s="280" t="s">
        <v>1116</v>
      </c>
      <c r="AI54" s="274" t="s">
        <v>1334</v>
      </c>
    </row>
    <row r="55" spans="1:35" ht="15.95" customHeight="1" x14ac:dyDescent="0.2">
      <c r="A55" s="279">
        <v>50</v>
      </c>
      <c r="B55" s="279" t="s">
        <v>1319</v>
      </c>
      <c r="C55" s="279">
        <v>13</v>
      </c>
      <c r="D55" s="279" t="s">
        <v>1320</v>
      </c>
      <c r="E55" s="279" t="s">
        <v>1127</v>
      </c>
      <c r="F55" s="279" t="s">
        <v>1321</v>
      </c>
      <c r="G55" s="279" t="s">
        <v>1322</v>
      </c>
      <c r="H55" s="279" t="s">
        <v>984</v>
      </c>
      <c r="I55" s="279" t="s">
        <v>371</v>
      </c>
      <c r="J55" s="279" t="s">
        <v>371</v>
      </c>
      <c r="K55" s="279" t="s">
        <v>371</v>
      </c>
      <c r="L55" s="279" t="s">
        <v>371</v>
      </c>
      <c r="M55" s="279">
        <v>7</v>
      </c>
      <c r="N55" s="279">
        <v>6</v>
      </c>
      <c r="O55" s="279">
        <v>42</v>
      </c>
      <c r="P55" s="279">
        <v>5</v>
      </c>
      <c r="Q55" s="279">
        <v>3.8</v>
      </c>
      <c r="R55" s="279">
        <v>8.8000000000000007</v>
      </c>
      <c r="S55" s="279">
        <v>19</v>
      </c>
      <c r="T55" s="279">
        <v>4.7727000000000004</v>
      </c>
      <c r="U55" s="279">
        <v>2.2105000000000001</v>
      </c>
      <c r="V55" s="279">
        <v>2.1591</v>
      </c>
      <c r="W55" s="277" t="s">
        <v>1197</v>
      </c>
      <c r="X55" s="279" t="s">
        <v>371</v>
      </c>
      <c r="Y55" s="279" t="s">
        <v>371</v>
      </c>
      <c r="Z55" s="279" t="s">
        <v>371</v>
      </c>
      <c r="AA55" s="279" t="s">
        <v>371</v>
      </c>
      <c r="AB55" s="279">
        <v>0.7</v>
      </c>
      <c r="AC55" s="279">
        <v>0.6</v>
      </c>
      <c r="AD55" s="279">
        <v>0.5</v>
      </c>
      <c r="AE55" s="279">
        <v>0.42</v>
      </c>
      <c r="AF55" s="279">
        <v>0.38</v>
      </c>
      <c r="AG55" s="279">
        <v>0.84</v>
      </c>
      <c r="AH55" s="279" t="s">
        <v>1128</v>
      </c>
      <c r="AI55" s="277" t="s">
        <v>1335</v>
      </c>
    </row>
    <row r="56" spans="1:35" ht="15.95" customHeight="1" x14ac:dyDescent="0.2">
      <c r="A56" s="280">
        <v>51</v>
      </c>
      <c r="B56" s="280" t="s">
        <v>1319</v>
      </c>
      <c r="C56" s="280">
        <v>14</v>
      </c>
      <c r="D56" s="280" t="s">
        <v>1320</v>
      </c>
      <c r="E56" s="280" t="s">
        <v>1129</v>
      </c>
      <c r="F56" s="280" t="s">
        <v>1321</v>
      </c>
      <c r="G56" s="280" t="s">
        <v>1322</v>
      </c>
      <c r="H56" s="280" t="s">
        <v>1130</v>
      </c>
      <c r="I56" s="280" t="s">
        <v>371</v>
      </c>
      <c r="J56" s="280" t="s">
        <v>371</v>
      </c>
      <c r="K56" s="280" t="s">
        <v>371</v>
      </c>
      <c r="L56" s="280" t="s">
        <v>371</v>
      </c>
      <c r="M56" s="280">
        <v>7.5</v>
      </c>
      <c r="N56" s="280">
        <v>7</v>
      </c>
      <c r="O56" s="280">
        <v>52.5</v>
      </c>
      <c r="P56" s="280">
        <v>4</v>
      </c>
      <c r="Q56" s="280">
        <v>3.5</v>
      </c>
      <c r="R56" s="280">
        <v>7.5</v>
      </c>
      <c r="S56" s="280">
        <v>14</v>
      </c>
      <c r="T56" s="280">
        <v>7</v>
      </c>
      <c r="U56" s="280">
        <v>3.75</v>
      </c>
      <c r="V56" s="280">
        <v>1.8667</v>
      </c>
      <c r="W56" s="274" t="s">
        <v>1182</v>
      </c>
      <c r="X56" s="280" t="s">
        <v>371</v>
      </c>
      <c r="Y56" s="280" t="s">
        <v>371</v>
      </c>
      <c r="Z56" s="280" t="s">
        <v>371</v>
      </c>
      <c r="AA56" s="280" t="s">
        <v>371</v>
      </c>
      <c r="AB56" s="280">
        <v>0.75</v>
      </c>
      <c r="AC56" s="280">
        <v>0.7</v>
      </c>
      <c r="AD56" s="280">
        <v>0.4</v>
      </c>
      <c r="AE56" s="280">
        <v>0.52500000000000002</v>
      </c>
      <c r="AF56" s="280">
        <v>0.35</v>
      </c>
      <c r="AG56" s="280">
        <v>1.3125</v>
      </c>
      <c r="AH56" s="280" t="s">
        <v>1109</v>
      </c>
      <c r="AI56" s="276" t="s">
        <v>1336</v>
      </c>
    </row>
    <row r="57" spans="1:35" ht="15.95" customHeight="1" x14ac:dyDescent="0.2">
      <c r="A57" s="279">
        <v>52</v>
      </c>
      <c r="B57" s="279" t="s">
        <v>1319</v>
      </c>
      <c r="C57" s="279">
        <v>15</v>
      </c>
      <c r="D57" s="279" t="s">
        <v>1320</v>
      </c>
      <c r="E57" s="279" t="s">
        <v>1131</v>
      </c>
      <c r="F57" s="279" t="s">
        <v>1321</v>
      </c>
      <c r="G57" s="279" t="s">
        <v>1322</v>
      </c>
      <c r="H57" s="279" t="s">
        <v>1132</v>
      </c>
      <c r="I57" s="279" t="s">
        <v>371</v>
      </c>
      <c r="J57" s="279" t="s">
        <v>371</v>
      </c>
      <c r="K57" s="279" t="s">
        <v>371</v>
      </c>
      <c r="L57" s="279" t="s">
        <v>371</v>
      </c>
      <c r="M57" s="279">
        <v>6.5</v>
      </c>
      <c r="N57" s="279">
        <v>5.5</v>
      </c>
      <c r="O57" s="279">
        <v>35.75</v>
      </c>
      <c r="P57" s="279">
        <v>5.5</v>
      </c>
      <c r="Q57" s="279">
        <v>4.2</v>
      </c>
      <c r="R57" s="279">
        <v>9.6999999999999993</v>
      </c>
      <c r="S57" s="279">
        <v>23.1</v>
      </c>
      <c r="T57" s="279">
        <v>3.6856</v>
      </c>
      <c r="U57" s="279">
        <v>1.5476000000000001</v>
      </c>
      <c r="V57" s="279">
        <v>2.3815</v>
      </c>
      <c r="W57" s="277" t="s">
        <v>1197</v>
      </c>
      <c r="X57" s="279" t="s">
        <v>371</v>
      </c>
      <c r="Y57" s="279" t="s">
        <v>371</v>
      </c>
      <c r="Z57" s="279" t="s">
        <v>371</v>
      </c>
      <c r="AA57" s="279" t="s">
        <v>371</v>
      </c>
      <c r="AB57" s="279">
        <v>0.65</v>
      </c>
      <c r="AC57" s="279">
        <v>0.55000000000000004</v>
      </c>
      <c r="AD57" s="279">
        <v>0.55000000000000004</v>
      </c>
      <c r="AE57" s="279">
        <v>0.35749999999999998</v>
      </c>
      <c r="AF57" s="279">
        <v>0.42</v>
      </c>
      <c r="AG57" s="279">
        <v>0.65</v>
      </c>
      <c r="AH57" s="279" t="s">
        <v>1128</v>
      </c>
      <c r="AI57" s="277" t="s">
        <v>1337</v>
      </c>
    </row>
    <row r="58" spans="1:35" ht="15.95" customHeight="1" x14ac:dyDescent="0.2">
      <c r="A58" s="280">
        <v>53</v>
      </c>
      <c r="B58" s="280" t="s">
        <v>1319</v>
      </c>
      <c r="C58" s="280">
        <v>16</v>
      </c>
      <c r="D58" s="280" t="s">
        <v>1320</v>
      </c>
      <c r="E58" s="280" t="s">
        <v>1133</v>
      </c>
      <c r="F58" s="280" t="s">
        <v>1321</v>
      </c>
      <c r="G58" s="280" t="s">
        <v>1322</v>
      </c>
      <c r="H58" s="280" t="s">
        <v>1091</v>
      </c>
      <c r="I58" s="280" t="s">
        <v>371</v>
      </c>
      <c r="J58" s="280" t="s">
        <v>371</v>
      </c>
      <c r="K58" s="280" t="s">
        <v>371</v>
      </c>
      <c r="L58" s="280" t="s">
        <v>371</v>
      </c>
      <c r="M58" s="280">
        <v>8</v>
      </c>
      <c r="N58" s="280">
        <v>7.5</v>
      </c>
      <c r="O58" s="280">
        <v>60</v>
      </c>
      <c r="P58" s="280">
        <v>4</v>
      </c>
      <c r="Q58" s="280">
        <v>4.5</v>
      </c>
      <c r="R58" s="280">
        <v>8.5</v>
      </c>
      <c r="S58" s="280">
        <v>18</v>
      </c>
      <c r="T58" s="280">
        <v>7.0587999999999997</v>
      </c>
      <c r="U58" s="280">
        <v>3.3332999999999999</v>
      </c>
      <c r="V58" s="280">
        <v>2.1177000000000001</v>
      </c>
      <c r="W58" s="277" t="s">
        <v>1197</v>
      </c>
      <c r="X58" s="280" t="s">
        <v>371</v>
      </c>
      <c r="Y58" s="280" t="s">
        <v>371</v>
      </c>
      <c r="Z58" s="280" t="s">
        <v>371</v>
      </c>
      <c r="AA58" s="280" t="s">
        <v>371</v>
      </c>
      <c r="AB58" s="280">
        <v>0.8</v>
      </c>
      <c r="AC58" s="280">
        <v>0.75</v>
      </c>
      <c r="AD58" s="280">
        <v>0.4</v>
      </c>
      <c r="AE58" s="280">
        <v>0.6</v>
      </c>
      <c r="AF58" s="280">
        <v>0.45</v>
      </c>
      <c r="AG58" s="280">
        <v>1.5</v>
      </c>
      <c r="AH58" s="280" t="s">
        <v>1109</v>
      </c>
      <c r="AI58" s="276" t="s">
        <v>1338</v>
      </c>
    </row>
    <row r="59" spans="1:35" ht="15.95" customHeight="1" x14ac:dyDescent="0.2">
      <c r="A59" s="279">
        <v>54</v>
      </c>
      <c r="B59" s="279" t="s">
        <v>1319</v>
      </c>
      <c r="C59" s="279">
        <v>17</v>
      </c>
      <c r="D59" s="279" t="s">
        <v>1320</v>
      </c>
      <c r="E59" s="279" t="s">
        <v>1134</v>
      </c>
      <c r="F59" s="279" t="s">
        <v>1321</v>
      </c>
      <c r="G59" s="279" t="s">
        <v>1322</v>
      </c>
      <c r="H59" s="279" t="s">
        <v>1135</v>
      </c>
      <c r="I59" s="279" t="s">
        <v>371</v>
      </c>
      <c r="J59" s="279" t="s">
        <v>371</v>
      </c>
      <c r="K59" s="279" t="s">
        <v>371</v>
      </c>
      <c r="L59" s="279" t="s">
        <v>371</v>
      </c>
      <c r="M59" s="279">
        <v>7.5</v>
      </c>
      <c r="N59" s="279">
        <v>7</v>
      </c>
      <c r="O59" s="279">
        <v>52.5</v>
      </c>
      <c r="P59" s="279">
        <v>3.5</v>
      </c>
      <c r="Q59" s="279">
        <v>4</v>
      </c>
      <c r="R59" s="279">
        <v>7.5</v>
      </c>
      <c r="S59" s="279">
        <v>14</v>
      </c>
      <c r="T59" s="279">
        <v>7</v>
      </c>
      <c r="U59" s="279">
        <v>3.75</v>
      </c>
      <c r="V59" s="279">
        <v>1.8667</v>
      </c>
      <c r="W59" s="274" t="s">
        <v>1182</v>
      </c>
      <c r="X59" s="279" t="s">
        <v>371</v>
      </c>
      <c r="Y59" s="279" t="s">
        <v>371</v>
      </c>
      <c r="Z59" s="279" t="s">
        <v>371</v>
      </c>
      <c r="AA59" s="279" t="s">
        <v>371</v>
      </c>
      <c r="AB59" s="279">
        <v>0.75</v>
      </c>
      <c r="AC59" s="279">
        <v>0.7</v>
      </c>
      <c r="AD59" s="279">
        <v>0.35</v>
      </c>
      <c r="AE59" s="279">
        <v>0.52500000000000002</v>
      </c>
      <c r="AF59" s="279">
        <v>0.4</v>
      </c>
      <c r="AG59" s="279">
        <v>1.5</v>
      </c>
      <c r="AH59" s="279" t="s">
        <v>1109</v>
      </c>
      <c r="AI59" s="276" t="s">
        <v>1339</v>
      </c>
    </row>
    <row r="60" spans="1:35" ht="15.95" customHeight="1" x14ac:dyDescent="0.2">
      <c r="A60" s="280">
        <v>55</v>
      </c>
      <c r="B60" s="280" t="s">
        <v>1319</v>
      </c>
      <c r="C60" s="280">
        <v>18</v>
      </c>
      <c r="D60" s="280" t="s">
        <v>1320</v>
      </c>
      <c r="E60" s="280" t="s">
        <v>1136</v>
      </c>
      <c r="F60" s="280" t="s">
        <v>1321</v>
      </c>
      <c r="G60" s="280" t="s">
        <v>1322</v>
      </c>
      <c r="H60" s="280" t="s">
        <v>1135</v>
      </c>
      <c r="I60" s="280" t="s">
        <v>371</v>
      </c>
      <c r="J60" s="280" t="s">
        <v>371</v>
      </c>
      <c r="K60" s="280" t="s">
        <v>371</v>
      </c>
      <c r="L60" s="280" t="s">
        <v>371</v>
      </c>
      <c r="M60" s="280">
        <v>8.5</v>
      </c>
      <c r="N60" s="280">
        <v>8</v>
      </c>
      <c r="O60" s="280">
        <v>68</v>
      </c>
      <c r="P60" s="280">
        <v>2.5</v>
      </c>
      <c r="Q60" s="280">
        <v>3.2</v>
      </c>
      <c r="R60" s="280">
        <v>5.7</v>
      </c>
      <c r="S60" s="280">
        <v>8</v>
      </c>
      <c r="T60" s="280">
        <v>11.9298</v>
      </c>
      <c r="U60" s="280">
        <v>8.5</v>
      </c>
      <c r="V60" s="280">
        <v>1.4035</v>
      </c>
      <c r="W60" s="274" t="s">
        <v>1182</v>
      </c>
      <c r="X60" s="280" t="s">
        <v>371</v>
      </c>
      <c r="Y60" s="280" t="s">
        <v>371</v>
      </c>
      <c r="Z60" s="280" t="s">
        <v>371</v>
      </c>
      <c r="AA60" s="280" t="s">
        <v>371</v>
      </c>
      <c r="AB60" s="280">
        <v>0.85</v>
      </c>
      <c r="AC60" s="280">
        <v>0.8</v>
      </c>
      <c r="AD60" s="280">
        <v>0.25</v>
      </c>
      <c r="AE60" s="280">
        <v>0.68</v>
      </c>
      <c r="AF60" s="280">
        <v>0.32</v>
      </c>
      <c r="AG60" s="280">
        <v>2.72</v>
      </c>
      <c r="AH60" s="280" t="s">
        <v>1116</v>
      </c>
      <c r="AI60" s="274" t="s">
        <v>1340</v>
      </c>
    </row>
    <row r="61" spans="1:35" ht="15.95" customHeight="1" x14ac:dyDescent="0.2">
      <c r="A61" s="279">
        <v>56</v>
      </c>
      <c r="B61" s="279" t="s">
        <v>1319</v>
      </c>
      <c r="C61" s="279">
        <v>19</v>
      </c>
      <c r="D61" s="279" t="s">
        <v>1320</v>
      </c>
      <c r="E61" s="279" t="s">
        <v>1137</v>
      </c>
      <c r="F61" s="279" t="s">
        <v>1321</v>
      </c>
      <c r="G61" s="279" t="s">
        <v>1322</v>
      </c>
      <c r="H61" s="279" t="s">
        <v>1138</v>
      </c>
      <c r="I61" s="279" t="s">
        <v>371</v>
      </c>
      <c r="J61" s="279" t="s">
        <v>371</v>
      </c>
      <c r="K61" s="279" t="s">
        <v>371</v>
      </c>
      <c r="L61" s="279" t="s">
        <v>371</v>
      </c>
      <c r="M61" s="279">
        <v>8</v>
      </c>
      <c r="N61" s="279">
        <v>6.5</v>
      </c>
      <c r="O61" s="279">
        <v>52</v>
      </c>
      <c r="P61" s="279">
        <v>5.8</v>
      </c>
      <c r="Q61" s="279">
        <v>4.2</v>
      </c>
      <c r="R61" s="279">
        <v>10</v>
      </c>
      <c r="S61" s="279">
        <v>24.36</v>
      </c>
      <c r="T61" s="279">
        <v>5.2</v>
      </c>
      <c r="U61" s="279">
        <v>2.1345999999999998</v>
      </c>
      <c r="V61" s="279">
        <v>2.4361000000000002</v>
      </c>
      <c r="W61" s="277" t="s">
        <v>1197</v>
      </c>
      <c r="X61" s="279" t="s">
        <v>371</v>
      </c>
      <c r="Y61" s="279" t="s">
        <v>371</v>
      </c>
      <c r="Z61" s="279" t="s">
        <v>371</v>
      </c>
      <c r="AA61" s="279" t="s">
        <v>371</v>
      </c>
      <c r="AB61" s="279">
        <v>0.8</v>
      </c>
      <c r="AC61" s="279">
        <v>0.65</v>
      </c>
      <c r="AD61" s="279">
        <v>0.57999999999999996</v>
      </c>
      <c r="AE61" s="279">
        <v>0.52</v>
      </c>
      <c r="AF61" s="279">
        <v>0.42</v>
      </c>
      <c r="AG61" s="279">
        <v>0.89659999999999995</v>
      </c>
      <c r="AH61" s="279" t="s">
        <v>1128</v>
      </c>
      <c r="AI61" s="277" t="s">
        <v>1341</v>
      </c>
    </row>
    <row r="62" spans="1:35" ht="15.95" customHeight="1" x14ac:dyDescent="0.2">
      <c r="A62" s="280">
        <v>57</v>
      </c>
      <c r="B62" s="280" t="s">
        <v>1319</v>
      </c>
      <c r="C62" s="280">
        <v>20</v>
      </c>
      <c r="D62" s="280" t="s">
        <v>1320</v>
      </c>
      <c r="E62" s="280" t="s">
        <v>1139</v>
      </c>
      <c r="F62" s="280" t="s">
        <v>1321</v>
      </c>
      <c r="G62" s="280" t="s">
        <v>1322</v>
      </c>
      <c r="H62" s="280" t="s">
        <v>1124</v>
      </c>
      <c r="I62" s="280" t="s">
        <v>371</v>
      </c>
      <c r="J62" s="280" t="s">
        <v>371</v>
      </c>
      <c r="K62" s="280" t="s">
        <v>371</v>
      </c>
      <c r="L62" s="280" t="s">
        <v>371</v>
      </c>
      <c r="M62" s="280">
        <v>9</v>
      </c>
      <c r="N62" s="280">
        <v>8</v>
      </c>
      <c r="O62" s="280">
        <v>72</v>
      </c>
      <c r="P62" s="280">
        <v>2</v>
      </c>
      <c r="Q62" s="280">
        <v>2.8</v>
      </c>
      <c r="R62" s="280">
        <v>4.8</v>
      </c>
      <c r="S62" s="280">
        <v>5.6</v>
      </c>
      <c r="T62" s="280">
        <v>15</v>
      </c>
      <c r="U62" s="280">
        <v>12.857100000000001</v>
      </c>
      <c r="V62" s="280">
        <v>1.1667000000000001</v>
      </c>
      <c r="W62" s="274" t="s">
        <v>1182</v>
      </c>
      <c r="X62" s="280" t="s">
        <v>371</v>
      </c>
      <c r="Y62" s="280" t="s">
        <v>371</v>
      </c>
      <c r="Z62" s="280" t="s">
        <v>371</v>
      </c>
      <c r="AA62" s="280" t="s">
        <v>371</v>
      </c>
      <c r="AB62" s="280">
        <v>0.9</v>
      </c>
      <c r="AC62" s="280">
        <v>0.8</v>
      </c>
      <c r="AD62" s="280">
        <v>0.2</v>
      </c>
      <c r="AE62" s="280">
        <v>0.72</v>
      </c>
      <c r="AF62" s="280">
        <v>0.28000000000000003</v>
      </c>
      <c r="AG62" s="280">
        <v>3.6</v>
      </c>
      <c r="AH62" s="280" t="s">
        <v>1116</v>
      </c>
      <c r="AI62" s="274" t="s">
        <v>1342</v>
      </c>
    </row>
    <row r="63" spans="1:35" ht="15.95" customHeight="1" x14ac:dyDescent="0.2">
      <c r="A63" s="279">
        <v>58</v>
      </c>
      <c r="B63" s="279" t="s">
        <v>1319</v>
      </c>
      <c r="C63" s="279">
        <v>21</v>
      </c>
      <c r="D63" s="279" t="s">
        <v>1320</v>
      </c>
      <c r="E63" s="279" t="s">
        <v>1140</v>
      </c>
      <c r="F63" s="279" t="s">
        <v>1321</v>
      </c>
      <c r="G63" s="279" t="s">
        <v>1322</v>
      </c>
      <c r="H63" s="279" t="s">
        <v>1141</v>
      </c>
      <c r="I63" s="279" t="s">
        <v>371</v>
      </c>
      <c r="J63" s="279" t="s">
        <v>371</v>
      </c>
      <c r="K63" s="279" t="s">
        <v>371</v>
      </c>
      <c r="L63" s="279" t="s">
        <v>371</v>
      </c>
      <c r="M63" s="279">
        <v>7</v>
      </c>
      <c r="N63" s="279">
        <v>6</v>
      </c>
      <c r="O63" s="279">
        <v>42</v>
      </c>
      <c r="P63" s="279">
        <v>5.5</v>
      </c>
      <c r="Q63" s="279">
        <v>3.5</v>
      </c>
      <c r="R63" s="279">
        <v>9</v>
      </c>
      <c r="S63" s="279">
        <v>19.25</v>
      </c>
      <c r="T63" s="279">
        <v>4.6666999999999996</v>
      </c>
      <c r="U63" s="279">
        <v>2.1818</v>
      </c>
      <c r="V63" s="279">
        <v>2.1389</v>
      </c>
      <c r="W63" s="277" t="s">
        <v>1197</v>
      </c>
      <c r="X63" s="279" t="s">
        <v>371</v>
      </c>
      <c r="Y63" s="279" t="s">
        <v>371</v>
      </c>
      <c r="Z63" s="279" t="s">
        <v>371</v>
      </c>
      <c r="AA63" s="279" t="s">
        <v>371</v>
      </c>
      <c r="AB63" s="279">
        <v>0.7</v>
      </c>
      <c r="AC63" s="279">
        <v>0.6</v>
      </c>
      <c r="AD63" s="279">
        <v>0.55000000000000004</v>
      </c>
      <c r="AE63" s="279">
        <v>0.42</v>
      </c>
      <c r="AF63" s="279">
        <v>0.35</v>
      </c>
      <c r="AG63" s="279">
        <v>0.76359999999999995</v>
      </c>
      <c r="AH63" s="279" t="s">
        <v>1128</v>
      </c>
      <c r="AI63" s="277" t="s">
        <v>1343</v>
      </c>
    </row>
    <row r="64" spans="1:35" ht="15.95" customHeight="1" x14ac:dyDescent="0.2">
      <c r="A64" s="280">
        <v>59</v>
      </c>
      <c r="B64" s="280" t="s">
        <v>1319</v>
      </c>
      <c r="C64" s="280">
        <v>22</v>
      </c>
      <c r="D64" s="280" t="s">
        <v>1320</v>
      </c>
      <c r="E64" s="280" t="s">
        <v>1142</v>
      </c>
      <c r="F64" s="280" t="s">
        <v>1321</v>
      </c>
      <c r="G64" s="280" t="s">
        <v>1322</v>
      </c>
      <c r="H64" s="280" t="s">
        <v>1143</v>
      </c>
      <c r="I64" s="280" t="s">
        <v>371</v>
      </c>
      <c r="J64" s="280" t="s">
        <v>371</v>
      </c>
      <c r="K64" s="280" t="s">
        <v>371</v>
      </c>
      <c r="L64" s="280" t="s">
        <v>371</v>
      </c>
      <c r="M64" s="280">
        <v>8.5</v>
      </c>
      <c r="N64" s="280">
        <v>8.5</v>
      </c>
      <c r="O64" s="280">
        <v>72.25</v>
      </c>
      <c r="P64" s="280">
        <v>4.8</v>
      </c>
      <c r="Q64" s="280">
        <v>3.5</v>
      </c>
      <c r="R64" s="280">
        <v>8.3000000000000007</v>
      </c>
      <c r="S64" s="280">
        <v>16.8</v>
      </c>
      <c r="T64" s="280">
        <v>8.7048000000000005</v>
      </c>
      <c r="U64" s="280">
        <v>4.3006000000000002</v>
      </c>
      <c r="V64" s="280">
        <v>2.0240999999999998</v>
      </c>
      <c r="W64" s="277" t="s">
        <v>1197</v>
      </c>
      <c r="X64" s="280" t="s">
        <v>371</v>
      </c>
      <c r="Y64" s="280" t="s">
        <v>371</v>
      </c>
      <c r="Z64" s="280" t="s">
        <v>371</v>
      </c>
      <c r="AA64" s="280" t="s">
        <v>371</v>
      </c>
      <c r="AB64" s="280">
        <v>0.85</v>
      </c>
      <c r="AC64" s="280">
        <v>0.85</v>
      </c>
      <c r="AD64" s="280">
        <v>0.48</v>
      </c>
      <c r="AE64" s="280">
        <v>0.72250000000000003</v>
      </c>
      <c r="AF64" s="280">
        <v>0.35</v>
      </c>
      <c r="AG64" s="280">
        <v>1.5052000000000001</v>
      </c>
      <c r="AH64" s="280" t="s">
        <v>1109</v>
      </c>
      <c r="AI64" s="276" t="s">
        <v>1344</v>
      </c>
    </row>
    <row r="65" spans="1:35" ht="15.95" customHeight="1" x14ac:dyDescent="0.2">
      <c r="A65" s="279">
        <v>60</v>
      </c>
      <c r="B65" s="279" t="s">
        <v>1319</v>
      </c>
      <c r="C65" s="279">
        <v>23</v>
      </c>
      <c r="D65" s="279" t="s">
        <v>1320</v>
      </c>
      <c r="E65" s="279" t="s">
        <v>1144</v>
      </c>
      <c r="F65" s="279" t="s">
        <v>1321</v>
      </c>
      <c r="G65" s="279" t="s">
        <v>1322</v>
      </c>
      <c r="H65" s="279" t="s">
        <v>1145</v>
      </c>
      <c r="I65" s="279" t="s">
        <v>371</v>
      </c>
      <c r="J65" s="279" t="s">
        <v>371</v>
      </c>
      <c r="K65" s="279" t="s">
        <v>371</v>
      </c>
      <c r="L65" s="279" t="s">
        <v>371</v>
      </c>
      <c r="M65" s="279">
        <v>9</v>
      </c>
      <c r="N65" s="279">
        <v>7</v>
      </c>
      <c r="O65" s="279">
        <v>63</v>
      </c>
      <c r="P65" s="279">
        <v>3</v>
      </c>
      <c r="Q65" s="279">
        <v>1.5</v>
      </c>
      <c r="R65" s="279">
        <v>4.5</v>
      </c>
      <c r="S65" s="279">
        <v>4.5</v>
      </c>
      <c r="T65" s="279">
        <v>14</v>
      </c>
      <c r="U65" s="279">
        <v>14</v>
      </c>
      <c r="V65" s="279">
        <v>1</v>
      </c>
      <c r="W65" s="274" t="s">
        <v>1182</v>
      </c>
      <c r="X65" s="279" t="s">
        <v>371</v>
      </c>
      <c r="Y65" s="279" t="s">
        <v>371</v>
      </c>
      <c r="Z65" s="279" t="s">
        <v>371</v>
      </c>
      <c r="AA65" s="279" t="s">
        <v>371</v>
      </c>
      <c r="AB65" s="279">
        <v>0.9</v>
      </c>
      <c r="AC65" s="279">
        <v>0.7</v>
      </c>
      <c r="AD65" s="279">
        <v>0.3</v>
      </c>
      <c r="AE65" s="279">
        <v>0.63</v>
      </c>
      <c r="AF65" s="279">
        <v>0.15</v>
      </c>
      <c r="AG65" s="279">
        <v>2.1</v>
      </c>
      <c r="AH65" s="279" t="s">
        <v>1116</v>
      </c>
      <c r="AI65" s="274" t="s">
        <v>1345</v>
      </c>
    </row>
    <row r="67" spans="1:35" x14ac:dyDescent="0.2">
      <c r="A67" s="459" t="s">
        <v>1346</v>
      </c>
      <c r="B67" s="416"/>
      <c r="C67" s="416"/>
      <c r="D67" s="416"/>
      <c r="E67" s="416"/>
      <c r="F67" s="416"/>
      <c r="G67" s="416"/>
      <c r="H67" s="416"/>
      <c r="I67" s="416"/>
      <c r="J67" s="416"/>
      <c r="K67" s="416"/>
      <c r="L67" s="416"/>
      <c r="M67" s="416"/>
      <c r="N67" s="416"/>
      <c r="O67" s="416"/>
      <c r="P67" s="416"/>
      <c r="Q67" s="416"/>
      <c r="R67" s="416"/>
      <c r="S67" s="416"/>
      <c r="T67" s="416"/>
      <c r="U67" s="416"/>
      <c r="V67" s="416"/>
      <c r="W67" s="416"/>
      <c r="X67" s="416"/>
      <c r="Y67" s="416"/>
      <c r="Z67" s="416"/>
      <c r="AA67" s="416"/>
      <c r="AB67" s="416"/>
      <c r="AC67" s="416"/>
      <c r="AD67" s="416"/>
      <c r="AE67" s="416"/>
      <c r="AF67" s="416"/>
      <c r="AG67" s="416"/>
      <c r="AH67" s="416"/>
      <c r="AI67" s="416"/>
    </row>
  </sheetData>
  <mergeCells count="5">
    <mergeCell ref="A42:AI42"/>
    <mergeCell ref="A2:AH2"/>
    <mergeCell ref="A67:AI67"/>
    <mergeCell ref="A1:AH1"/>
    <mergeCell ref="A4:AI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zoomScaleNormal="100" workbookViewId="0"/>
  </sheetViews>
  <sheetFormatPr defaultColWidth="8.609375" defaultRowHeight="15" x14ac:dyDescent="0.2"/>
  <cols>
    <col min="1" max="1" width="22.05859375" style="396" customWidth="1"/>
    <col min="2" max="2" width="50.04296875" style="396" customWidth="1"/>
    <col min="3" max="3" width="55.01953125" style="396" customWidth="1"/>
    <col min="4" max="4" width="9.953125" style="396" customWidth="1"/>
    <col min="5" max="5" width="55.01953125" style="396" customWidth="1"/>
  </cols>
  <sheetData>
    <row r="1" spans="1:5" ht="15" customHeight="1" x14ac:dyDescent="0.2">
      <c r="A1" s="1" t="s">
        <v>1347</v>
      </c>
      <c r="B1" s="1" t="s">
        <v>1348</v>
      </c>
      <c r="C1" s="1" t="s">
        <v>1149</v>
      </c>
      <c r="D1" s="1" t="s">
        <v>1349</v>
      </c>
      <c r="E1" s="1" t="s">
        <v>1350</v>
      </c>
    </row>
    <row r="2" spans="1:5" ht="26.85" customHeight="1" x14ac:dyDescent="0.2">
      <c r="A2" s="50" t="s">
        <v>1351</v>
      </c>
      <c r="B2" s="50" t="s">
        <v>1352</v>
      </c>
      <c r="C2" s="50" t="s">
        <v>1353</v>
      </c>
      <c r="D2" s="50" t="s">
        <v>1354</v>
      </c>
      <c r="E2" s="50" t="s">
        <v>1355</v>
      </c>
    </row>
    <row r="3" spans="1:5" ht="15" customHeight="1" x14ac:dyDescent="0.2">
      <c r="A3" s="50" t="s">
        <v>1351</v>
      </c>
      <c r="B3" s="50" t="s">
        <v>1356</v>
      </c>
      <c r="C3" s="50" t="s">
        <v>1357</v>
      </c>
      <c r="D3" s="50" t="s">
        <v>1358</v>
      </c>
      <c r="E3" s="50" t="s">
        <v>1359</v>
      </c>
    </row>
    <row r="4" spans="1:5" ht="15" customHeight="1" x14ac:dyDescent="0.2">
      <c r="A4" s="50" t="s">
        <v>1360</v>
      </c>
      <c r="B4" s="50" t="s">
        <v>1361</v>
      </c>
      <c r="C4" s="50" t="s">
        <v>1362</v>
      </c>
      <c r="D4" s="50" t="s">
        <v>1354</v>
      </c>
      <c r="E4" s="50" t="s">
        <v>1363</v>
      </c>
    </row>
    <row r="5" spans="1:5" ht="15" customHeight="1" x14ac:dyDescent="0.2">
      <c r="A5" s="50" t="s">
        <v>1360</v>
      </c>
      <c r="B5" s="50" t="s">
        <v>1364</v>
      </c>
      <c r="C5" s="50" t="s">
        <v>1365</v>
      </c>
      <c r="D5" s="50" t="s">
        <v>1366</v>
      </c>
      <c r="E5" s="50" t="s">
        <v>1367</v>
      </c>
    </row>
    <row r="6" spans="1:5" ht="23.25" customHeight="1" x14ac:dyDescent="0.2">
      <c r="A6" s="50" t="s">
        <v>1368</v>
      </c>
      <c r="B6" s="50" t="s">
        <v>1369</v>
      </c>
      <c r="C6" s="50" t="s">
        <v>1370</v>
      </c>
      <c r="D6" s="50" t="s">
        <v>1371</v>
      </c>
      <c r="E6" s="50" t="s">
        <v>1372</v>
      </c>
    </row>
    <row r="7" spans="1:5" ht="26.85" customHeight="1" x14ac:dyDescent="0.2">
      <c r="A7" s="50" t="s">
        <v>1368</v>
      </c>
      <c r="B7" s="50" t="s">
        <v>1373</v>
      </c>
      <c r="C7" s="50" t="s">
        <v>1374</v>
      </c>
      <c r="D7" s="50" t="s">
        <v>1375</v>
      </c>
      <c r="E7" s="50" t="s">
        <v>1376</v>
      </c>
    </row>
    <row r="10" spans="1:5" x14ac:dyDescent="0.2">
      <c r="B10" s="257" t="s">
        <v>853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zoomScaleNormal="100" workbookViewId="0"/>
  </sheetViews>
  <sheetFormatPr defaultColWidth="8.609375" defaultRowHeight="15" x14ac:dyDescent="0.2"/>
  <cols>
    <col min="1" max="2" width="18.0234375" style="396" customWidth="1"/>
    <col min="3" max="3" width="29.99609375" style="396" customWidth="1"/>
    <col min="4" max="4" width="22.05859375" style="396" customWidth="1"/>
    <col min="5" max="6" width="39.953125" style="396" customWidth="1"/>
    <col min="7" max="7" width="13.98828125" style="396" customWidth="1"/>
  </cols>
  <sheetData>
    <row r="1" spans="1:7" ht="15" customHeight="1" x14ac:dyDescent="0.2">
      <c r="A1" s="1" t="s">
        <v>1377</v>
      </c>
      <c r="B1" s="1" t="s">
        <v>1378</v>
      </c>
      <c r="C1" s="1" t="s">
        <v>1379</v>
      </c>
      <c r="D1" s="1" t="s">
        <v>1380</v>
      </c>
      <c r="E1" s="1" t="s">
        <v>1381</v>
      </c>
      <c r="F1" s="1" t="s">
        <v>1264</v>
      </c>
      <c r="G1" s="1" t="s">
        <v>1382</v>
      </c>
    </row>
    <row r="2" spans="1:7" ht="15" customHeight="1" x14ac:dyDescent="0.2">
      <c r="A2" s="50" t="s">
        <v>1383</v>
      </c>
      <c r="B2" s="50" t="s">
        <v>1384</v>
      </c>
      <c r="C2" s="50" t="s">
        <v>1385</v>
      </c>
      <c r="D2" s="50" t="s">
        <v>1386</v>
      </c>
      <c r="E2" s="50" t="s">
        <v>1387</v>
      </c>
      <c r="F2" s="50" t="s">
        <v>1388</v>
      </c>
      <c r="G2" s="50" t="s">
        <v>1202</v>
      </c>
    </row>
    <row r="3" spans="1:7" ht="15" customHeight="1" x14ac:dyDescent="0.2">
      <c r="A3" s="50" t="s">
        <v>1389</v>
      </c>
      <c r="B3" s="50" t="s">
        <v>1390</v>
      </c>
      <c r="C3" s="50" t="s">
        <v>1391</v>
      </c>
      <c r="D3" s="50" t="s">
        <v>1392</v>
      </c>
      <c r="E3" s="50" t="s">
        <v>1393</v>
      </c>
      <c r="F3" s="50" t="s">
        <v>1394</v>
      </c>
      <c r="G3" s="50" t="s">
        <v>1395</v>
      </c>
    </row>
    <row r="4" spans="1:7" ht="15" customHeight="1" x14ac:dyDescent="0.2">
      <c r="A4" s="50" t="s">
        <v>1396</v>
      </c>
      <c r="B4" s="50" t="s">
        <v>1397</v>
      </c>
      <c r="C4" s="50" t="s">
        <v>1398</v>
      </c>
      <c r="D4" s="50" t="s">
        <v>1399</v>
      </c>
      <c r="E4" s="50" t="s">
        <v>1400</v>
      </c>
      <c r="F4" s="50" t="s">
        <v>1401</v>
      </c>
      <c r="G4" s="50" t="s">
        <v>1402</v>
      </c>
    </row>
    <row r="5" spans="1:7" ht="15" customHeight="1" x14ac:dyDescent="0.2">
      <c r="A5" s="50" t="s">
        <v>1403</v>
      </c>
      <c r="B5" s="50" t="s">
        <v>1404</v>
      </c>
      <c r="C5" s="50" t="s">
        <v>1405</v>
      </c>
      <c r="D5" s="50" t="s">
        <v>1406</v>
      </c>
      <c r="E5" s="50" t="s">
        <v>1407</v>
      </c>
      <c r="F5" s="50" t="s">
        <v>1408</v>
      </c>
      <c r="G5" s="50" t="s">
        <v>1409</v>
      </c>
    </row>
    <row r="6" spans="1:7" ht="23.25" customHeight="1" x14ac:dyDescent="0.2">
      <c r="A6" s="50" t="s">
        <v>1410</v>
      </c>
      <c r="B6" s="50" t="s">
        <v>1411</v>
      </c>
      <c r="C6" s="50" t="s">
        <v>1412</v>
      </c>
      <c r="D6" s="50" t="s">
        <v>1413</v>
      </c>
      <c r="E6" s="50" t="s">
        <v>1414</v>
      </c>
      <c r="F6" s="50" t="s">
        <v>1415</v>
      </c>
      <c r="G6" s="50" t="s">
        <v>1416</v>
      </c>
    </row>
    <row r="9" spans="1:7" ht="15" customHeight="1" x14ac:dyDescent="0.2">
      <c r="A9" s="51" t="s">
        <v>1417</v>
      </c>
      <c r="B9" s="52"/>
      <c r="C9" s="52"/>
      <c r="D9" s="52"/>
      <c r="E9" s="52"/>
      <c r="F9" s="52"/>
      <c r="G9" s="52"/>
    </row>
    <row r="10" spans="1:7" ht="15" customHeight="1" x14ac:dyDescent="0.2">
      <c r="A10" s="53" t="s">
        <v>1418</v>
      </c>
      <c r="B10" s="54" t="s">
        <v>1419</v>
      </c>
      <c r="C10" s="55" t="s">
        <v>1420</v>
      </c>
      <c r="D10" s="56" t="s">
        <v>1421</v>
      </c>
    </row>
    <row r="11" spans="1:7" ht="15" customHeight="1" x14ac:dyDescent="0.2">
      <c r="A11" s="53" t="s">
        <v>1422</v>
      </c>
      <c r="B11" s="54" t="s">
        <v>1423</v>
      </c>
      <c r="C11" s="55" t="s">
        <v>1424</v>
      </c>
      <c r="D11" s="56" t="s">
        <v>1425</v>
      </c>
    </row>
    <row r="12" spans="1:7" ht="15" customHeight="1" x14ac:dyDescent="0.2">
      <c r="A12" s="53" t="s">
        <v>1426</v>
      </c>
      <c r="B12" s="54" t="s">
        <v>1427</v>
      </c>
      <c r="C12" s="55" t="s">
        <v>1428</v>
      </c>
      <c r="D12" s="56" t="s">
        <v>1429</v>
      </c>
    </row>
    <row r="14" spans="1:7" ht="15" customHeight="1" x14ac:dyDescent="0.2">
      <c r="A14" s="57" t="s">
        <v>1430</v>
      </c>
      <c r="B14" s="58" t="s">
        <v>1431</v>
      </c>
    </row>
    <row r="15" spans="1:7" ht="15" customHeight="1" x14ac:dyDescent="0.2">
      <c r="A15" s="57" t="s">
        <v>1432</v>
      </c>
      <c r="B15" s="58" t="s">
        <v>1433</v>
      </c>
    </row>
    <row r="18" spans="2:2" x14ac:dyDescent="0.2">
      <c r="B18" s="257" t="s">
        <v>853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zoomScaleNormal="100" workbookViewId="0"/>
  </sheetViews>
  <sheetFormatPr defaultColWidth="8.609375" defaultRowHeight="15" x14ac:dyDescent="0.2"/>
  <cols>
    <col min="1" max="2" width="13.98828125" style="396" customWidth="1"/>
    <col min="3" max="3" width="27.98046875" style="396" customWidth="1"/>
    <col min="4" max="4" width="11.97265625" style="396" customWidth="1"/>
    <col min="5" max="5" width="13.98828125" style="396" customWidth="1"/>
    <col min="6" max="6" width="39.953125" style="396" customWidth="1"/>
    <col min="7" max="7" width="11.97265625" style="396" customWidth="1"/>
    <col min="8" max="8" width="20.04296875" style="396" customWidth="1"/>
  </cols>
  <sheetData>
    <row r="1" spans="1:8" ht="15" customHeight="1" x14ac:dyDescent="0.2">
      <c r="A1" s="1" t="s">
        <v>1434</v>
      </c>
      <c r="B1" s="1" t="s">
        <v>252</v>
      </c>
      <c r="C1" s="1" t="s">
        <v>1435</v>
      </c>
      <c r="D1" s="1" t="s">
        <v>859</v>
      </c>
      <c r="E1" s="1" t="s">
        <v>860</v>
      </c>
      <c r="F1" s="1" t="s">
        <v>1436</v>
      </c>
      <c r="G1" s="1" t="s">
        <v>1437</v>
      </c>
      <c r="H1" s="1" t="s">
        <v>1438</v>
      </c>
    </row>
    <row r="2" spans="1:8" ht="15" customHeight="1" x14ac:dyDescent="0.2">
      <c r="A2" s="50" t="s">
        <v>882</v>
      </c>
      <c r="B2" s="50" t="s">
        <v>1439</v>
      </c>
      <c r="C2" s="50" t="s">
        <v>1440</v>
      </c>
      <c r="D2" s="50" t="s">
        <v>883</v>
      </c>
      <c r="E2" s="50" t="s">
        <v>884</v>
      </c>
      <c r="F2" s="50" t="s">
        <v>1441</v>
      </c>
      <c r="G2" s="50">
        <v>2</v>
      </c>
      <c r="H2" s="50" t="s">
        <v>880</v>
      </c>
    </row>
    <row r="3" spans="1:8" ht="15" customHeight="1" x14ac:dyDescent="0.2">
      <c r="A3" s="50" t="s">
        <v>901</v>
      </c>
      <c r="B3" s="50" t="s">
        <v>1439</v>
      </c>
      <c r="C3" s="50" t="s">
        <v>1442</v>
      </c>
      <c r="D3" s="50" t="s">
        <v>902</v>
      </c>
      <c r="E3" s="50" t="s">
        <v>903</v>
      </c>
      <c r="F3" s="50" t="s">
        <v>1443</v>
      </c>
      <c r="G3" s="50">
        <v>2</v>
      </c>
      <c r="H3" s="50" t="s">
        <v>1444</v>
      </c>
    </row>
    <row r="4" spans="1:8" ht="15" customHeight="1" x14ac:dyDescent="0.2">
      <c r="A4" s="50" t="s">
        <v>919</v>
      </c>
      <c r="B4" s="50" t="s">
        <v>1445</v>
      </c>
      <c r="C4" s="50" t="s">
        <v>1446</v>
      </c>
      <c r="D4" s="50" t="s">
        <v>920</v>
      </c>
      <c r="E4" s="50" t="s">
        <v>921</v>
      </c>
      <c r="F4" s="50" t="s">
        <v>1447</v>
      </c>
      <c r="G4" s="50">
        <v>3</v>
      </c>
      <c r="H4" s="50" t="s">
        <v>1448</v>
      </c>
    </row>
    <row r="5" spans="1:8" ht="15" customHeight="1" x14ac:dyDescent="0.2">
      <c r="A5" s="50" t="s">
        <v>957</v>
      </c>
      <c r="B5" s="50" t="s">
        <v>1449</v>
      </c>
      <c r="C5" s="50" t="s">
        <v>1450</v>
      </c>
      <c r="D5" s="50" t="s">
        <v>928</v>
      </c>
      <c r="E5" s="50" t="s">
        <v>929</v>
      </c>
      <c r="F5" s="50" t="s">
        <v>1451</v>
      </c>
      <c r="G5" s="50">
        <v>3</v>
      </c>
      <c r="H5" s="50" t="s">
        <v>1452</v>
      </c>
    </row>
    <row r="6" spans="1:8" ht="15" customHeight="1" x14ac:dyDescent="0.2">
      <c r="A6" s="50" t="s">
        <v>941</v>
      </c>
      <c r="B6" s="50" t="s">
        <v>1453</v>
      </c>
      <c r="C6" s="50" t="s">
        <v>1454</v>
      </c>
      <c r="D6" s="50" t="s">
        <v>942</v>
      </c>
      <c r="E6" s="50" t="s">
        <v>929</v>
      </c>
      <c r="F6" s="50" t="s">
        <v>1455</v>
      </c>
      <c r="G6" s="50">
        <v>2</v>
      </c>
      <c r="H6" s="50" t="s">
        <v>939</v>
      </c>
    </row>
    <row r="7" spans="1:8" ht="15" customHeight="1" x14ac:dyDescent="0.2">
      <c r="A7" s="50" t="s">
        <v>962</v>
      </c>
      <c r="B7" s="50" t="s">
        <v>1456</v>
      </c>
      <c r="C7" s="50" t="s">
        <v>1457</v>
      </c>
      <c r="D7" s="50" t="s">
        <v>963</v>
      </c>
      <c r="E7" s="50" t="s">
        <v>903</v>
      </c>
      <c r="F7" s="50" t="s">
        <v>1458</v>
      </c>
      <c r="G7" s="50">
        <v>2</v>
      </c>
      <c r="H7" s="50" t="s">
        <v>1459</v>
      </c>
    </row>
    <row r="8" spans="1:8" ht="15" customHeight="1" x14ac:dyDescent="0.2">
      <c r="A8" s="50" t="s">
        <v>972</v>
      </c>
      <c r="B8" s="50" t="s">
        <v>1460</v>
      </c>
      <c r="C8" s="50" t="s">
        <v>1461</v>
      </c>
      <c r="D8" s="50" t="s">
        <v>973</v>
      </c>
      <c r="E8" s="50" t="s">
        <v>884</v>
      </c>
      <c r="F8" s="50" t="s">
        <v>1462</v>
      </c>
      <c r="G8" s="50">
        <v>2</v>
      </c>
      <c r="H8" s="50" t="s">
        <v>939</v>
      </c>
    </row>
    <row r="9" spans="1:8" ht="15" customHeight="1" x14ac:dyDescent="0.2">
      <c r="A9" s="50" t="s">
        <v>984</v>
      </c>
      <c r="B9" s="50" t="s">
        <v>1244</v>
      </c>
      <c r="C9" s="50" t="s">
        <v>1463</v>
      </c>
      <c r="D9" s="50" t="s">
        <v>985</v>
      </c>
      <c r="E9" s="50" t="s">
        <v>884</v>
      </c>
      <c r="F9" s="50" t="s">
        <v>1464</v>
      </c>
      <c r="G9" s="50">
        <v>3</v>
      </c>
      <c r="H9" s="50" t="s">
        <v>1465</v>
      </c>
    </row>
    <row r="10" spans="1:8" ht="15" customHeight="1" x14ac:dyDescent="0.2">
      <c r="A10" s="50" t="s">
        <v>1114</v>
      </c>
      <c r="B10" s="50" t="s">
        <v>1466</v>
      </c>
      <c r="C10" s="50" t="s">
        <v>1467</v>
      </c>
      <c r="D10" s="50" t="s">
        <v>991</v>
      </c>
      <c r="E10" s="50" t="s">
        <v>921</v>
      </c>
      <c r="F10" s="50" t="s">
        <v>1468</v>
      </c>
      <c r="G10" s="50">
        <v>2</v>
      </c>
      <c r="H10" s="50" t="s">
        <v>1469</v>
      </c>
    </row>
    <row r="11" spans="1:8" ht="15" customHeight="1" x14ac:dyDescent="0.2">
      <c r="A11" s="50" t="s">
        <v>1470</v>
      </c>
      <c r="B11" s="50" t="s">
        <v>1471</v>
      </c>
      <c r="C11" s="50" t="s">
        <v>1472</v>
      </c>
      <c r="D11" s="50" t="s">
        <v>997</v>
      </c>
      <c r="E11" s="50" t="s">
        <v>903</v>
      </c>
      <c r="F11" s="50" t="s">
        <v>1473</v>
      </c>
      <c r="G11" s="50">
        <v>4</v>
      </c>
      <c r="H11" s="50" t="s">
        <v>1474</v>
      </c>
    </row>
    <row r="12" spans="1:8" ht="15" customHeight="1" x14ac:dyDescent="0.2">
      <c r="A12" s="50" t="s">
        <v>1016</v>
      </c>
      <c r="B12" s="50" t="s">
        <v>1475</v>
      </c>
      <c r="C12" s="50" t="s">
        <v>1476</v>
      </c>
      <c r="D12" s="50" t="s">
        <v>1017</v>
      </c>
      <c r="E12" s="50" t="s">
        <v>884</v>
      </c>
      <c r="F12" s="50" t="s">
        <v>1477</v>
      </c>
      <c r="G12" s="50">
        <v>4</v>
      </c>
      <c r="H12" s="50" t="s">
        <v>1014</v>
      </c>
    </row>
    <row r="13" spans="1:8" ht="15" customHeight="1" x14ac:dyDescent="0.2">
      <c r="A13" s="50" t="s">
        <v>1091</v>
      </c>
      <c r="B13" s="50" t="s">
        <v>1478</v>
      </c>
      <c r="C13" s="50" t="s">
        <v>1479</v>
      </c>
      <c r="D13" s="50" t="s">
        <v>1003</v>
      </c>
      <c r="E13" s="50" t="s">
        <v>929</v>
      </c>
      <c r="F13" s="50" t="s">
        <v>1480</v>
      </c>
      <c r="G13" s="50">
        <v>4</v>
      </c>
      <c r="H13" s="50" t="s">
        <v>1481</v>
      </c>
    </row>
    <row r="16" spans="1:8" x14ac:dyDescent="0.2">
      <c r="B16" s="257" t="s">
        <v>853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9"/>
  <sheetViews>
    <sheetView zoomScaleNormal="100" workbookViewId="0"/>
  </sheetViews>
  <sheetFormatPr defaultColWidth="8.609375" defaultRowHeight="15" x14ac:dyDescent="0.2"/>
  <cols>
    <col min="1" max="1" width="23.9453125" style="396" customWidth="1"/>
    <col min="2" max="2" width="39.953125" style="396" customWidth="1"/>
    <col min="3" max="3" width="59.99609375" style="396" customWidth="1"/>
  </cols>
  <sheetData>
    <row r="1" spans="1:3" ht="15" customHeight="1" x14ac:dyDescent="0.2">
      <c r="A1" s="51" t="s">
        <v>1482</v>
      </c>
      <c r="B1" s="52"/>
      <c r="C1" s="52"/>
    </row>
    <row r="2" spans="1:3" ht="15" customHeight="1" x14ac:dyDescent="0.2">
      <c r="A2" s="53" t="s">
        <v>1483</v>
      </c>
      <c r="B2" s="54" t="s">
        <v>1484</v>
      </c>
      <c r="C2" s="55" t="s">
        <v>1485</v>
      </c>
    </row>
    <row r="3" spans="1:3" ht="15" customHeight="1" x14ac:dyDescent="0.2">
      <c r="A3" s="53" t="s">
        <v>1486</v>
      </c>
      <c r="B3" s="54" t="s">
        <v>803</v>
      </c>
      <c r="C3" s="55" t="s">
        <v>1487</v>
      </c>
    </row>
    <row r="4" spans="1:3" ht="15" customHeight="1" x14ac:dyDescent="0.2">
      <c r="A4" s="53" t="s">
        <v>1488</v>
      </c>
      <c r="B4" s="54" t="s">
        <v>1419</v>
      </c>
      <c r="C4" s="55" t="s">
        <v>1489</v>
      </c>
    </row>
    <row r="5" spans="1:3" ht="15" customHeight="1" x14ac:dyDescent="0.2">
      <c r="A5" s="53" t="s">
        <v>1490</v>
      </c>
      <c r="B5" s="54" t="s">
        <v>1491</v>
      </c>
      <c r="C5" s="55" t="s">
        <v>1492</v>
      </c>
    </row>
    <row r="6" spans="1:3" ht="15" customHeight="1" x14ac:dyDescent="0.2">
      <c r="A6" s="53" t="s">
        <v>1493</v>
      </c>
      <c r="B6" s="54" t="s">
        <v>1494</v>
      </c>
      <c r="C6" s="55" t="s">
        <v>1495</v>
      </c>
    </row>
    <row r="7" spans="1:3" ht="15" customHeight="1" x14ac:dyDescent="0.2">
      <c r="A7" s="53" t="s">
        <v>1496</v>
      </c>
      <c r="B7" s="54" t="s">
        <v>1497</v>
      </c>
      <c r="C7" s="55" t="s">
        <v>1498</v>
      </c>
    </row>
    <row r="8" spans="1:3" ht="15" customHeight="1" x14ac:dyDescent="0.2">
      <c r="A8" s="53"/>
      <c r="B8" s="54"/>
      <c r="C8" s="55"/>
    </row>
    <row r="9" spans="1:3" ht="15" customHeight="1" x14ac:dyDescent="0.2">
      <c r="A9" s="51" t="s">
        <v>1499</v>
      </c>
      <c r="B9" s="52"/>
      <c r="C9" s="52"/>
    </row>
    <row r="10" spans="1:3" ht="15" customHeight="1" x14ac:dyDescent="0.2">
      <c r="A10" s="53" t="s">
        <v>1500</v>
      </c>
      <c r="B10" s="54" t="s">
        <v>1501</v>
      </c>
      <c r="C10" s="55" t="s">
        <v>1502</v>
      </c>
    </row>
    <row r="11" spans="1:3" ht="15" customHeight="1" x14ac:dyDescent="0.2">
      <c r="A11" s="53" t="s">
        <v>1503</v>
      </c>
      <c r="B11" s="54" t="s">
        <v>1501</v>
      </c>
      <c r="C11" s="55" t="s">
        <v>1504</v>
      </c>
    </row>
    <row r="12" spans="1:3" ht="15" customHeight="1" x14ac:dyDescent="0.2">
      <c r="A12" s="53" t="s">
        <v>1505</v>
      </c>
      <c r="B12" s="54" t="s">
        <v>1506</v>
      </c>
      <c r="C12" s="55" t="s">
        <v>1507</v>
      </c>
    </row>
    <row r="13" spans="1:3" ht="15" customHeight="1" x14ac:dyDescent="0.2">
      <c r="A13" s="53" t="s">
        <v>1508</v>
      </c>
      <c r="B13" s="54" t="s">
        <v>1509</v>
      </c>
      <c r="C13" s="55" t="s">
        <v>1510</v>
      </c>
    </row>
    <row r="14" spans="1:3" ht="15" customHeight="1" x14ac:dyDescent="0.2">
      <c r="A14" s="53" t="s">
        <v>1511</v>
      </c>
      <c r="B14" s="54" t="s">
        <v>1512</v>
      </c>
      <c r="C14" s="55" t="s">
        <v>1513</v>
      </c>
    </row>
    <row r="15" spans="1:3" ht="15" customHeight="1" x14ac:dyDescent="0.2">
      <c r="A15" s="53" t="s">
        <v>1514</v>
      </c>
      <c r="B15" s="54" t="s">
        <v>1515</v>
      </c>
      <c r="C15" s="55" t="s">
        <v>1516</v>
      </c>
    </row>
    <row r="16" spans="1:3" ht="15" customHeight="1" x14ac:dyDescent="0.2">
      <c r="A16" s="53" t="s">
        <v>1517</v>
      </c>
      <c r="B16" s="54" t="s">
        <v>1518</v>
      </c>
      <c r="C16" s="55" t="s">
        <v>1519</v>
      </c>
    </row>
    <row r="17" spans="1:3" ht="15" customHeight="1" x14ac:dyDescent="0.2">
      <c r="A17" s="53"/>
      <c r="B17" s="54"/>
      <c r="C17" s="55"/>
    </row>
    <row r="18" spans="1:3" ht="15" customHeight="1" x14ac:dyDescent="0.2">
      <c r="A18" s="51" t="s">
        <v>1520</v>
      </c>
      <c r="B18" s="52"/>
      <c r="C18" s="52"/>
    </row>
    <row r="19" spans="1:3" ht="15" customHeight="1" x14ac:dyDescent="0.2">
      <c r="A19" s="53" t="s">
        <v>1103</v>
      </c>
      <c r="B19" s="54" t="s">
        <v>1521</v>
      </c>
      <c r="C19" s="55" t="s">
        <v>1522</v>
      </c>
    </row>
    <row r="20" spans="1:3" ht="15" customHeight="1" x14ac:dyDescent="0.2">
      <c r="A20" s="53" t="s">
        <v>1523</v>
      </c>
      <c r="B20" s="54" t="s">
        <v>1521</v>
      </c>
      <c r="C20" s="55" t="s">
        <v>1524</v>
      </c>
    </row>
    <row r="21" spans="1:3" ht="15" customHeight="1" x14ac:dyDescent="0.2">
      <c r="A21" s="53" t="s">
        <v>1525</v>
      </c>
      <c r="B21" s="54" t="s">
        <v>1521</v>
      </c>
      <c r="C21" s="55" t="s">
        <v>1526</v>
      </c>
    </row>
    <row r="22" spans="1:3" ht="15" customHeight="1" x14ac:dyDescent="0.2">
      <c r="A22" s="53" t="s">
        <v>1527</v>
      </c>
      <c r="B22" s="54" t="s">
        <v>1521</v>
      </c>
      <c r="C22" s="55" t="s">
        <v>1528</v>
      </c>
    </row>
    <row r="23" spans="1:3" ht="15" customHeight="1" x14ac:dyDescent="0.2">
      <c r="A23" s="53"/>
      <c r="B23" s="54"/>
      <c r="C23" s="55"/>
    </row>
    <row r="24" spans="1:3" ht="15" customHeight="1" x14ac:dyDescent="0.2">
      <c r="A24" s="51" t="s">
        <v>1529</v>
      </c>
      <c r="B24" s="52"/>
      <c r="C24" s="52"/>
    </row>
    <row r="25" spans="1:3" ht="15" customHeight="1" x14ac:dyDescent="0.2">
      <c r="A25" s="53" t="s">
        <v>1182</v>
      </c>
      <c r="B25" s="54" t="s">
        <v>1530</v>
      </c>
      <c r="C25" s="55" t="s">
        <v>1531</v>
      </c>
    </row>
    <row r="26" spans="1:3" ht="15" customHeight="1" x14ac:dyDescent="0.2">
      <c r="A26" s="53" t="s">
        <v>1197</v>
      </c>
      <c r="B26" s="54" t="s">
        <v>1532</v>
      </c>
      <c r="C26" s="55" t="s">
        <v>1533</v>
      </c>
    </row>
    <row r="27" spans="1:3" ht="15" customHeight="1" x14ac:dyDescent="0.2">
      <c r="A27" s="53" t="s">
        <v>1534</v>
      </c>
      <c r="B27" s="54" t="s">
        <v>1535</v>
      </c>
      <c r="C27" s="55" t="s">
        <v>1536</v>
      </c>
    </row>
    <row r="28" spans="1:3" ht="15" customHeight="1" x14ac:dyDescent="0.2">
      <c r="A28" s="53"/>
      <c r="B28" s="54"/>
      <c r="C28" s="55"/>
    </row>
    <row r="29" spans="1:3" ht="15" customHeight="1" x14ac:dyDescent="0.2">
      <c r="A29" s="51" t="s">
        <v>1537</v>
      </c>
      <c r="B29" s="52"/>
      <c r="C29" s="52"/>
    </row>
    <row r="30" spans="1:3" ht="15" customHeight="1" x14ac:dyDescent="0.2">
      <c r="A30" s="53" t="s">
        <v>1538</v>
      </c>
      <c r="B30" s="54" t="s">
        <v>1539</v>
      </c>
      <c r="C30" s="55" t="s">
        <v>1540</v>
      </c>
    </row>
    <row r="31" spans="1:3" ht="15" customHeight="1" x14ac:dyDescent="0.2">
      <c r="A31" s="53" t="s">
        <v>1541</v>
      </c>
      <c r="B31" s="54" t="s">
        <v>1542</v>
      </c>
      <c r="C31" s="55" t="s">
        <v>1543</v>
      </c>
    </row>
    <row r="32" spans="1:3" ht="15" customHeight="1" x14ac:dyDescent="0.2">
      <c r="A32" s="53" t="s">
        <v>1544</v>
      </c>
      <c r="B32" s="54" t="s">
        <v>1545</v>
      </c>
      <c r="C32" s="55" t="s">
        <v>1546</v>
      </c>
    </row>
    <row r="33" spans="1:3" ht="15" customHeight="1" x14ac:dyDescent="0.2">
      <c r="A33" s="53" t="s">
        <v>1547</v>
      </c>
      <c r="B33" s="54" t="s">
        <v>1548</v>
      </c>
      <c r="C33" s="55" t="s">
        <v>1549</v>
      </c>
    </row>
    <row r="35" spans="1:3" ht="15" customHeight="1" x14ac:dyDescent="0.2">
      <c r="A35" s="59" t="s">
        <v>1550</v>
      </c>
      <c r="B35" s="52"/>
      <c r="C35" s="52"/>
    </row>
    <row r="36" spans="1:3" ht="28.35" customHeight="1" x14ac:dyDescent="0.2">
      <c r="A36" s="60" t="s">
        <v>1551</v>
      </c>
      <c r="B36" s="61" t="s">
        <v>1552</v>
      </c>
      <c r="C36" s="61" t="s">
        <v>1553</v>
      </c>
    </row>
    <row r="37" spans="1:3" ht="28.35" customHeight="1" x14ac:dyDescent="0.2">
      <c r="A37" s="60" t="s">
        <v>1554</v>
      </c>
      <c r="B37" s="61" t="s">
        <v>1555</v>
      </c>
      <c r="C37" s="61" t="s">
        <v>1556</v>
      </c>
    </row>
    <row r="38" spans="1:3" ht="28.35" customHeight="1" x14ac:dyDescent="0.2">
      <c r="A38" s="60" t="s">
        <v>1557</v>
      </c>
      <c r="B38" s="61" t="s">
        <v>1558</v>
      </c>
      <c r="C38" s="61" t="s">
        <v>1559</v>
      </c>
    </row>
    <row r="40" spans="1:3" ht="15" customHeight="1" x14ac:dyDescent="0.2">
      <c r="A40" s="59" t="s">
        <v>1560</v>
      </c>
      <c r="B40" s="52"/>
      <c r="C40" s="52"/>
    </row>
    <row r="41" spans="1:3" ht="41.85" customHeight="1" x14ac:dyDescent="0.2">
      <c r="A41" s="60" t="s">
        <v>1561</v>
      </c>
      <c r="B41" s="61" t="s">
        <v>1562</v>
      </c>
      <c r="C41" s="61" t="s">
        <v>1563</v>
      </c>
    </row>
    <row r="42" spans="1:3" ht="28.35" customHeight="1" x14ac:dyDescent="0.2">
      <c r="A42" s="60" t="s">
        <v>1564</v>
      </c>
      <c r="B42" s="61" t="s">
        <v>1565</v>
      </c>
      <c r="C42" s="61" t="s">
        <v>1566</v>
      </c>
    </row>
    <row r="43" spans="1:3" ht="28.35" customHeight="1" x14ac:dyDescent="0.2">
      <c r="A43" s="60" t="s">
        <v>1567</v>
      </c>
      <c r="B43" s="61" t="s">
        <v>1568</v>
      </c>
      <c r="C43" s="61" t="s">
        <v>1569</v>
      </c>
    </row>
    <row r="45" spans="1:3" ht="15" customHeight="1" x14ac:dyDescent="0.2">
      <c r="A45" s="59" t="s">
        <v>1570</v>
      </c>
      <c r="B45" s="52"/>
      <c r="C45" s="52"/>
    </row>
    <row r="46" spans="1:3" ht="28.35" customHeight="1" x14ac:dyDescent="0.2">
      <c r="A46" s="60" t="s">
        <v>1571</v>
      </c>
      <c r="B46" s="61" t="s">
        <v>1572</v>
      </c>
      <c r="C46" s="61" t="s">
        <v>1573</v>
      </c>
    </row>
    <row r="47" spans="1:3" ht="41.85" customHeight="1" x14ac:dyDescent="0.2">
      <c r="A47" s="60" t="s">
        <v>1574</v>
      </c>
      <c r="B47" s="61" t="s">
        <v>1575</v>
      </c>
      <c r="C47" s="61" t="s">
        <v>1576</v>
      </c>
    </row>
    <row r="48" spans="1:3" ht="41.85" customHeight="1" x14ac:dyDescent="0.2">
      <c r="A48" s="60" t="s">
        <v>1577</v>
      </c>
      <c r="B48" s="61" t="s">
        <v>1578</v>
      </c>
      <c r="C48" s="61" t="s">
        <v>1579</v>
      </c>
    </row>
    <row r="49" spans="1:3" ht="41.85" customHeight="1" x14ac:dyDescent="0.2">
      <c r="A49" s="60" t="s">
        <v>1580</v>
      </c>
      <c r="B49" s="61" t="s">
        <v>1581</v>
      </c>
      <c r="C49" s="61" t="s">
        <v>1582</v>
      </c>
    </row>
    <row r="51" spans="1:3" ht="15" customHeight="1" x14ac:dyDescent="0.2">
      <c r="A51" s="59" t="s">
        <v>1583</v>
      </c>
      <c r="B51" s="52"/>
      <c r="C51" s="52"/>
    </row>
    <row r="52" spans="1:3" ht="28.35" customHeight="1" x14ac:dyDescent="0.2">
      <c r="A52" s="60" t="s">
        <v>1584</v>
      </c>
      <c r="B52" s="61" t="s">
        <v>1585</v>
      </c>
      <c r="C52" s="61" t="s">
        <v>1586</v>
      </c>
    </row>
    <row r="54" spans="1:3" x14ac:dyDescent="0.2">
      <c r="A54" s="462" t="s">
        <v>1587</v>
      </c>
      <c r="B54" s="416"/>
      <c r="C54" s="416"/>
    </row>
    <row r="55" spans="1:3" ht="24" customHeight="1" x14ac:dyDescent="0.2">
      <c r="A55" s="463" t="s">
        <v>1588</v>
      </c>
      <c r="B55" s="416"/>
      <c r="C55" s="416"/>
    </row>
    <row r="58" spans="1:3" x14ac:dyDescent="0.2">
      <c r="B58" s="257" t="s">
        <v>853</v>
      </c>
    </row>
    <row r="60" spans="1:3" x14ac:dyDescent="0.2">
      <c r="A60" t="s">
        <v>1589</v>
      </c>
    </row>
    <row r="61" spans="1:3" x14ac:dyDescent="0.2">
      <c r="A61" t="s">
        <v>1590</v>
      </c>
      <c r="B61" t="s">
        <v>1591</v>
      </c>
      <c r="C61" t="s">
        <v>1592</v>
      </c>
    </row>
    <row r="62" spans="1:3" x14ac:dyDescent="0.2">
      <c r="A62" t="s">
        <v>1593</v>
      </c>
      <c r="B62" t="s">
        <v>1594</v>
      </c>
      <c r="C62" t="s">
        <v>1595</v>
      </c>
    </row>
    <row r="63" spans="1:3" x14ac:dyDescent="0.2">
      <c r="A63" t="s">
        <v>1596</v>
      </c>
      <c r="B63" t="s">
        <v>1597</v>
      </c>
      <c r="C63" t="s">
        <v>1598</v>
      </c>
    </row>
    <row r="65" spans="1:3" x14ac:dyDescent="0.2">
      <c r="A65" t="s">
        <v>1599</v>
      </c>
    </row>
    <row r="66" spans="1:3" x14ac:dyDescent="0.2">
      <c r="A66" t="s">
        <v>1600</v>
      </c>
      <c r="B66" t="s">
        <v>1601</v>
      </c>
      <c r="C66" t="s">
        <v>1602</v>
      </c>
    </row>
    <row r="67" spans="1:3" x14ac:dyDescent="0.2">
      <c r="A67" t="s">
        <v>1603</v>
      </c>
      <c r="B67" t="s">
        <v>1604</v>
      </c>
      <c r="C67" t="s">
        <v>1605</v>
      </c>
    </row>
    <row r="68" spans="1:3" x14ac:dyDescent="0.2">
      <c r="A68" t="s">
        <v>1606</v>
      </c>
      <c r="B68" t="s">
        <v>1607</v>
      </c>
      <c r="C68" t="s">
        <v>1608</v>
      </c>
    </row>
    <row r="69" spans="1:3" x14ac:dyDescent="0.2">
      <c r="A69" t="s">
        <v>1609</v>
      </c>
      <c r="B69" t="s">
        <v>1610</v>
      </c>
      <c r="C69" t="s">
        <v>1611</v>
      </c>
    </row>
    <row r="70" spans="1:3" x14ac:dyDescent="0.2">
      <c r="A70" t="s">
        <v>1612</v>
      </c>
      <c r="B70" t="s">
        <v>1613</v>
      </c>
      <c r="C70" t="s">
        <v>1614</v>
      </c>
    </row>
    <row r="72" spans="1:3" x14ac:dyDescent="0.2">
      <c r="A72" t="s">
        <v>1615</v>
      </c>
    </row>
    <row r="73" spans="1:3" x14ac:dyDescent="0.2">
      <c r="A73" t="s">
        <v>1616</v>
      </c>
      <c r="B73" t="s">
        <v>1617</v>
      </c>
      <c r="C73" t="s">
        <v>1618</v>
      </c>
    </row>
    <row r="74" spans="1:3" x14ac:dyDescent="0.2">
      <c r="A74" t="s">
        <v>1619</v>
      </c>
      <c r="B74" t="s">
        <v>1620</v>
      </c>
      <c r="C74" t="s">
        <v>1621</v>
      </c>
    </row>
    <row r="75" spans="1:3" x14ac:dyDescent="0.2">
      <c r="A75" t="s">
        <v>1622</v>
      </c>
      <c r="B75" t="s">
        <v>1623</v>
      </c>
      <c r="C75" t="s">
        <v>1624</v>
      </c>
    </row>
    <row r="77" spans="1:3" x14ac:dyDescent="0.2">
      <c r="A77" t="s">
        <v>1625</v>
      </c>
    </row>
    <row r="78" spans="1:3" x14ac:dyDescent="0.2">
      <c r="A78" t="s">
        <v>1626</v>
      </c>
      <c r="B78" t="s">
        <v>1627</v>
      </c>
      <c r="C78" t="s">
        <v>1628</v>
      </c>
    </row>
    <row r="79" spans="1:3" x14ac:dyDescent="0.2">
      <c r="A79" t="s">
        <v>1629</v>
      </c>
      <c r="B79" t="s">
        <v>1630</v>
      </c>
      <c r="C79" t="s">
        <v>1631</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zoomScaleNormal="100" workbookViewId="0"/>
  </sheetViews>
  <sheetFormatPr defaultColWidth="8.609375" defaultRowHeight="15" x14ac:dyDescent="0.2"/>
  <cols>
    <col min="1" max="1" width="13.98828125" style="396" customWidth="1"/>
    <col min="2" max="2" width="7.93359375" style="396" customWidth="1"/>
    <col min="3" max="3" width="13.98828125" style="396" customWidth="1"/>
    <col min="4" max="4" width="7.93359375" style="396" customWidth="1"/>
    <col min="5" max="5" width="43.98828125" style="396" customWidth="1"/>
    <col min="6" max="6" width="50.04296875" style="396" customWidth="1"/>
    <col min="7" max="7" width="11.97265625" style="396" customWidth="1"/>
  </cols>
  <sheetData>
    <row r="1" spans="1:7" ht="15" customHeight="1" x14ac:dyDescent="0.2">
      <c r="A1" s="1" t="s">
        <v>1155</v>
      </c>
      <c r="B1" s="1" t="s">
        <v>1107</v>
      </c>
      <c r="C1" s="1" t="s">
        <v>1632</v>
      </c>
      <c r="D1" s="1" t="s">
        <v>1633</v>
      </c>
      <c r="E1" s="1" t="s">
        <v>1634</v>
      </c>
      <c r="F1" s="1" t="s">
        <v>1635</v>
      </c>
      <c r="G1" s="1" t="s">
        <v>1636</v>
      </c>
    </row>
    <row r="2" spans="1:7" ht="15" customHeight="1" x14ac:dyDescent="0.2">
      <c r="A2" s="50" t="s">
        <v>886</v>
      </c>
      <c r="B2" s="50" t="s">
        <v>1637</v>
      </c>
      <c r="C2" s="50" t="s">
        <v>1638</v>
      </c>
      <c r="D2" s="50" t="s">
        <v>1639</v>
      </c>
      <c r="E2" s="50" t="s">
        <v>1640</v>
      </c>
      <c r="F2" s="50" t="s">
        <v>1641</v>
      </c>
      <c r="G2" s="50" t="s">
        <v>1642</v>
      </c>
    </row>
    <row r="3" spans="1:7" ht="15" customHeight="1" x14ac:dyDescent="0.2">
      <c r="A3" s="50" t="s">
        <v>905</v>
      </c>
      <c r="B3" s="50" t="s">
        <v>1637</v>
      </c>
      <c r="C3" s="50" t="s">
        <v>1643</v>
      </c>
      <c r="D3" s="50" t="s">
        <v>1644</v>
      </c>
      <c r="E3" s="50" t="s">
        <v>1645</v>
      </c>
      <c r="F3" s="50" t="s">
        <v>1646</v>
      </c>
      <c r="G3" s="50" t="s">
        <v>1647</v>
      </c>
    </row>
    <row r="4" spans="1:7" ht="15" customHeight="1" x14ac:dyDescent="0.2">
      <c r="A4" s="50" t="s">
        <v>931</v>
      </c>
      <c r="B4" s="50" t="s">
        <v>1637</v>
      </c>
      <c r="C4" s="50" t="s">
        <v>1648</v>
      </c>
      <c r="D4" s="50" t="s">
        <v>1644</v>
      </c>
      <c r="E4" s="50" t="s">
        <v>1649</v>
      </c>
      <c r="F4" s="50" t="s">
        <v>1650</v>
      </c>
      <c r="G4" s="50" t="s">
        <v>1651</v>
      </c>
    </row>
    <row r="5" spans="1:7" ht="23.25" customHeight="1" x14ac:dyDescent="0.2">
      <c r="A5" s="50" t="s">
        <v>944</v>
      </c>
      <c r="B5" s="50" t="s">
        <v>1637</v>
      </c>
      <c r="C5" s="50" t="s">
        <v>1652</v>
      </c>
      <c r="D5" s="50" t="s">
        <v>1653</v>
      </c>
      <c r="E5" s="50" t="s">
        <v>1654</v>
      </c>
      <c r="F5" s="50" t="s">
        <v>1655</v>
      </c>
      <c r="G5" s="50" t="s">
        <v>1656</v>
      </c>
    </row>
    <row r="6" spans="1:7" ht="15" customHeight="1" x14ac:dyDescent="0.2">
      <c r="A6" s="50" t="s">
        <v>892</v>
      </c>
      <c r="B6" s="50" t="s">
        <v>1637</v>
      </c>
      <c r="C6" s="50" t="s">
        <v>1657</v>
      </c>
      <c r="D6" s="50" t="s">
        <v>1658</v>
      </c>
      <c r="E6" s="50" t="s">
        <v>1659</v>
      </c>
      <c r="F6" s="50" t="s">
        <v>1660</v>
      </c>
      <c r="G6" s="50" t="s">
        <v>1661</v>
      </c>
    </row>
    <row r="7" spans="1:7" ht="15" customHeight="1" x14ac:dyDescent="0.2">
      <c r="A7" s="50" t="s">
        <v>912</v>
      </c>
      <c r="B7" s="50" t="s">
        <v>1637</v>
      </c>
      <c r="C7" s="50" t="s">
        <v>1662</v>
      </c>
      <c r="D7" s="50" t="s">
        <v>1663</v>
      </c>
      <c r="E7" s="50" t="s">
        <v>1664</v>
      </c>
      <c r="F7" s="50" t="s">
        <v>1665</v>
      </c>
      <c r="G7" s="50" t="s">
        <v>1666</v>
      </c>
    </row>
    <row r="8" spans="1:7" ht="15" customHeight="1" x14ac:dyDescent="0.2">
      <c r="A8" s="50" t="s">
        <v>1097</v>
      </c>
      <c r="B8" s="50" t="s">
        <v>1637</v>
      </c>
      <c r="C8" s="50" t="s">
        <v>1667</v>
      </c>
      <c r="D8" s="50" t="s">
        <v>1668</v>
      </c>
      <c r="E8" s="50" t="s">
        <v>1669</v>
      </c>
      <c r="F8" s="50" t="s">
        <v>1670</v>
      </c>
      <c r="G8" s="50" t="s">
        <v>1671</v>
      </c>
    </row>
    <row r="9" spans="1:7" ht="15" customHeight="1" x14ac:dyDescent="0.2">
      <c r="A9" s="50"/>
      <c r="B9" s="50"/>
      <c r="C9" s="50"/>
      <c r="D9" s="50"/>
      <c r="E9" s="50"/>
      <c r="F9" s="50"/>
      <c r="G9" s="50"/>
    </row>
    <row r="10" spans="1:7" ht="23.25" customHeight="1" x14ac:dyDescent="0.2">
      <c r="A10" s="50" t="s">
        <v>975</v>
      </c>
      <c r="B10" s="50" t="s">
        <v>1672</v>
      </c>
      <c r="C10" s="50" t="s">
        <v>1673</v>
      </c>
      <c r="D10" s="50" t="s">
        <v>371</v>
      </c>
      <c r="E10" s="50" t="s">
        <v>1674</v>
      </c>
      <c r="F10" s="50" t="s">
        <v>1675</v>
      </c>
      <c r="G10" s="50" t="s">
        <v>1676</v>
      </c>
    </row>
    <row r="11" spans="1:7" ht="15" customHeight="1" x14ac:dyDescent="0.2">
      <c r="A11" s="50" t="s">
        <v>1005</v>
      </c>
      <c r="B11" s="50" t="s">
        <v>1672</v>
      </c>
      <c r="C11" s="50" t="s">
        <v>1677</v>
      </c>
      <c r="D11" s="50" t="s">
        <v>371</v>
      </c>
      <c r="E11" s="50" t="s">
        <v>1678</v>
      </c>
      <c r="F11" s="50" t="s">
        <v>1679</v>
      </c>
      <c r="G11" s="50" t="s">
        <v>1680</v>
      </c>
    </row>
    <row r="12" spans="1:7" ht="15" customHeight="1" x14ac:dyDescent="0.2">
      <c r="A12" s="50" t="s">
        <v>980</v>
      </c>
      <c r="B12" s="50" t="s">
        <v>1672</v>
      </c>
      <c r="C12" s="50" t="s">
        <v>1681</v>
      </c>
      <c r="D12" s="50" t="s">
        <v>371</v>
      </c>
      <c r="E12" s="50" t="s">
        <v>1682</v>
      </c>
      <c r="F12" s="50" t="s">
        <v>1683</v>
      </c>
      <c r="G12" s="50" t="s">
        <v>1684</v>
      </c>
    </row>
    <row r="13" spans="1:7" ht="15" customHeight="1" x14ac:dyDescent="0.2">
      <c r="A13" s="50" t="s">
        <v>1052</v>
      </c>
      <c r="B13" s="50" t="s">
        <v>1672</v>
      </c>
      <c r="C13" s="50" t="s">
        <v>1685</v>
      </c>
      <c r="D13" s="50" t="s">
        <v>371</v>
      </c>
      <c r="E13" s="50" t="s">
        <v>1686</v>
      </c>
      <c r="F13" s="50" t="s">
        <v>1687</v>
      </c>
      <c r="G13" s="50" t="s">
        <v>1680</v>
      </c>
    </row>
    <row r="14" spans="1:7" ht="15" customHeight="1" x14ac:dyDescent="0.2">
      <c r="A14" s="50" t="s">
        <v>1019</v>
      </c>
      <c r="B14" s="50" t="s">
        <v>1672</v>
      </c>
      <c r="C14" s="50" t="s">
        <v>1049</v>
      </c>
      <c r="D14" s="50" t="s">
        <v>371</v>
      </c>
      <c r="E14" s="50" t="s">
        <v>1688</v>
      </c>
      <c r="F14" s="50" t="s">
        <v>1689</v>
      </c>
      <c r="G14" s="50" t="s">
        <v>1690</v>
      </c>
    </row>
    <row r="15" spans="1:7" ht="15" customHeight="1" x14ac:dyDescent="0.2">
      <c r="A15" s="50" t="s">
        <v>1058</v>
      </c>
      <c r="B15" s="50" t="s">
        <v>1672</v>
      </c>
      <c r="C15" s="50" t="s">
        <v>1054</v>
      </c>
      <c r="D15" s="50" t="s">
        <v>371</v>
      </c>
      <c r="E15" s="50" t="s">
        <v>1691</v>
      </c>
      <c r="F15" s="50" t="s">
        <v>1692</v>
      </c>
      <c r="G15" s="50" t="s">
        <v>1693</v>
      </c>
    </row>
    <row r="16" spans="1:7" ht="15" customHeight="1" x14ac:dyDescent="0.2">
      <c r="A16" s="50"/>
      <c r="B16" s="50"/>
      <c r="C16" s="50"/>
      <c r="D16" s="50"/>
      <c r="E16" s="50"/>
      <c r="F16" s="50"/>
      <c r="G16" s="50"/>
    </row>
    <row r="17" spans="1:7" ht="15" customHeight="1" x14ac:dyDescent="0.2">
      <c r="A17" s="50" t="s">
        <v>1694</v>
      </c>
      <c r="B17" s="50" t="s">
        <v>1695</v>
      </c>
      <c r="C17" s="50" t="s">
        <v>1696</v>
      </c>
      <c r="D17" s="50" t="s">
        <v>371</v>
      </c>
      <c r="E17" s="50" t="s">
        <v>1697</v>
      </c>
      <c r="F17" s="50" t="s">
        <v>1698</v>
      </c>
      <c r="G17" s="50" t="s">
        <v>1699</v>
      </c>
    </row>
    <row r="20" spans="1:7" x14ac:dyDescent="0.2">
      <c r="B20" s="257" t="s">
        <v>853</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zoomScaleNormal="100" workbookViewId="0"/>
  </sheetViews>
  <sheetFormatPr defaultColWidth="8.609375" defaultRowHeight="15" x14ac:dyDescent="0.2"/>
  <cols>
    <col min="1" max="1" width="16.0078125" style="396" customWidth="1"/>
    <col min="2" max="2" width="22.05859375" style="396" customWidth="1"/>
    <col min="3" max="3" width="13.98828125" style="396" customWidth="1"/>
    <col min="4" max="4" width="27.98046875" style="396" customWidth="1"/>
    <col min="5" max="5" width="22.05859375" style="396" customWidth="1"/>
    <col min="6" max="6" width="55.01953125" style="396" customWidth="1"/>
  </cols>
  <sheetData>
    <row r="1" spans="1:6" ht="15" customHeight="1" x14ac:dyDescent="0.2">
      <c r="A1" s="1" t="s">
        <v>1700</v>
      </c>
      <c r="B1" s="1" t="s">
        <v>1632</v>
      </c>
      <c r="C1" s="1" t="s">
        <v>1701</v>
      </c>
      <c r="D1" s="1" t="s">
        <v>1702</v>
      </c>
      <c r="E1" s="1" t="s">
        <v>1703</v>
      </c>
      <c r="F1" s="1" t="s">
        <v>1704</v>
      </c>
    </row>
    <row r="2" spans="1:6" ht="15" customHeight="1" x14ac:dyDescent="0.2">
      <c r="A2" s="50" t="s">
        <v>1705</v>
      </c>
      <c r="B2" s="50" t="s">
        <v>1706</v>
      </c>
      <c r="C2" s="50" t="s">
        <v>1707</v>
      </c>
      <c r="D2" s="50" t="s">
        <v>882</v>
      </c>
      <c r="E2" s="50" t="s">
        <v>1708</v>
      </c>
      <c r="F2" s="50" t="s">
        <v>1709</v>
      </c>
    </row>
    <row r="3" spans="1:6" ht="15" customHeight="1" x14ac:dyDescent="0.2">
      <c r="A3" s="50" t="s">
        <v>1710</v>
      </c>
      <c r="B3" s="50" t="s">
        <v>1711</v>
      </c>
      <c r="C3" s="50" t="s">
        <v>1712</v>
      </c>
      <c r="D3" s="50" t="s">
        <v>1713</v>
      </c>
      <c r="E3" s="50" t="s">
        <v>1714</v>
      </c>
      <c r="F3" s="50" t="s">
        <v>1715</v>
      </c>
    </row>
    <row r="4" spans="1:6" ht="15" customHeight="1" x14ac:dyDescent="0.2">
      <c r="A4" s="50" t="s">
        <v>1716</v>
      </c>
      <c r="B4" s="50" t="s">
        <v>1717</v>
      </c>
      <c r="C4" s="50" t="s">
        <v>1718</v>
      </c>
      <c r="D4" s="50" t="s">
        <v>1719</v>
      </c>
      <c r="E4" s="50" t="s">
        <v>1720</v>
      </c>
      <c r="F4" s="50" t="s">
        <v>1721</v>
      </c>
    </row>
    <row r="5" spans="1:6" ht="15" customHeight="1" x14ac:dyDescent="0.2">
      <c r="A5" s="50" t="s">
        <v>1722</v>
      </c>
      <c r="B5" s="50" t="s">
        <v>1723</v>
      </c>
      <c r="C5" s="50" t="s">
        <v>1724</v>
      </c>
      <c r="D5" s="50" t="s">
        <v>1725</v>
      </c>
      <c r="E5" s="50" t="s">
        <v>1726</v>
      </c>
      <c r="F5" s="50" t="s">
        <v>1727</v>
      </c>
    </row>
    <row r="6" spans="1:6" ht="15" customHeight="1" x14ac:dyDescent="0.2">
      <c r="A6" s="50" t="s">
        <v>1728</v>
      </c>
      <c r="B6" s="50" t="s">
        <v>1729</v>
      </c>
      <c r="C6" s="50" t="s">
        <v>1730</v>
      </c>
      <c r="D6" s="50" t="s">
        <v>1731</v>
      </c>
      <c r="E6" s="50" t="s">
        <v>1732</v>
      </c>
      <c r="F6" s="50" t="s">
        <v>1733</v>
      </c>
    </row>
    <row r="7" spans="1:6" ht="15" customHeight="1" x14ac:dyDescent="0.2">
      <c r="A7" s="50" t="s">
        <v>1734</v>
      </c>
      <c r="B7" s="50" t="s">
        <v>1735</v>
      </c>
      <c r="C7" s="50" t="s">
        <v>1736</v>
      </c>
      <c r="D7" s="50" t="s">
        <v>962</v>
      </c>
      <c r="E7" s="50" t="s">
        <v>1737</v>
      </c>
      <c r="F7" s="50" t="s">
        <v>1738</v>
      </c>
    </row>
    <row r="8" spans="1:6" ht="15" customHeight="1" x14ac:dyDescent="0.2">
      <c r="A8" s="50" t="s">
        <v>973</v>
      </c>
      <c r="B8" s="50" t="s">
        <v>1739</v>
      </c>
      <c r="C8" s="50" t="s">
        <v>1740</v>
      </c>
      <c r="D8" s="50" t="s">
        <v>1741</v>
      </c>
      <c r="E8" s="50" t="s">
        <v>1742</v>
      </c>
      <c r="F8" s="50" t="s">
        <v>1743</v>
      </c>
    </row>
    <row r="9" spans="1:6" ht="15" customHeight="1" x14ac:dyDescent="0.2">
      <c r="A9" s="50" t="s">
        <v>1744</v>
      </c>
      <c r="B9" s="50" t="s">
        <v>1745</v>
      </c>
      <c r="C9" s="50" t="s">
        <v>1746</v>
      </c>
      <c r="D9" s="50" t="s">
        <v>1114</v>
      </c>
      <c r="E9" s="50" t="s">
        <v>1747</v>
      </c>
      <c r="F9" s="50" t="s">
        <v>1748</v>
      </c>
    </row>
    <row r="10" spans="1:6" ht="15" customHeight="1" x14ac:dyDescent="0.2">
      <c r="A10" s="50" t="s">
        <v>1749</v>
      </c>
      <c r="B10" s="50" t="s">
        <v>1750</v>
      </c>
      <c r="C10" s="50" t="s">
        <v>1751</v>
      </c>
      <c r="D10" s="50" t="s">
        <v>1752</v>
      </c>
      <c r="E10" s="50" t="s">
        <v>1753</v>
      </c>
      <c r="F10" s="50" t="s">
        <v>1754</v>
      </c>
    </row>
    <row r="11" spans="1:6" ht="15" customHeight="1" x14ac:dyDescent="0.2">
      <c r="A11" s="50" t="s">
        <v>1755</v>
      </c>
      <c r="B11" s="50" t="s">
        <v>1756</v>
      </c>
      <c r="C11" s="50" t="s">
        <v>1757</v>
      </c>
      <c r="D11" s="50" t="s">
        <v>1758</v>
      </c>
      <c r="E11" s="50" t="s">
        <v>1759</v>
      </c>
      <c r="F11" s="50" t="s">
        <v>1760</v>
      </c>
    </row>
    <row r="12" spans="1:6" ht="15" customHeight="1" x14ac:dyDescent="0.2">
      <c r="A12" s="50" t="s">
        <v>1761</v>
      </c>
      <c r="B12" s="50" t="s">
        <v>1762</v>
      </c>
      <c r="C12" s="50" t="s">
        <v>1763</v>
      </c>
      <c r="D12" s="50" t="s">
        <v>1764</v>
      </c>
      <c r="E12" s="50" t="s">
        <v>1765</v>
      </c>
      <c r="F12" s="50" t="s">
        <v>1766</v>
      </c>
    </row>
    <row r="13" spans="1:6" ht="15" customHeight="1" x14ac:dyDescent="0.2">
      <c r="A13" s="50" t="s">
        <v>1767</v>
      </c>
      <c r="B13" s="50" t="s">
        <v>1094</v>
      </c>
      <c r="C13" s="50" t="s">
        <v>1768</v>
      </c>
      <c r="D13" s="50" t="s">
        <v>1671</v>
      </c>
      <c r="E13" s="50" t="s">
        <v>1769</v>
      </c>
      <c r="F13" s="50" t="s">
        <v>1770</v>
      </c>
    </row>
    <row r="16" spans="1:6" x14ac:dyDescent="0.2">
      <c r="B16" s="257" t="s">
        <v>853</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5"/>
  <sheetViews>
    <sheetView workbookViewId="0"/>
  </sheetViews>
  <sheetFormatPr defaultRowHeight="15" x14ac:dyDescent="0.2"/>
  <cols>
    <col min="1" max="1" width="34.97265625" style="396" customWidth="1"/>
  </cols>
  <sheetData>
    <row r="1" spans="1:1" ht="39.75" customHeight="1" x14ac:dyDescent="0.3">
      <c r="A1" s="281" t="s">
        <v>1771</v>
      </c>
    </row>
    <row r="2" spans="1:1" x14ac:dyDescent="0.2">
      <c r="A2" s="282"/>
    </row>
    <row r="3" spans="1:1" x14ac:dyDescent="0.2">
      <c r="A3" s="283" t="s">
        <v>1772</v>
      </c>
    </row>
    <row r="4" spans="1:1" ht="30" customHeight="1" x14ac:dyDescent="0.2">
      <c r="A4" s="282" t="s">
        <v>1773</v>
      </c>
    </row>
    <row r="5" spans="1:1" ht="27.75" customHeight="1" x14ac:dyDescent="0.2">
      <c r="A5" s="282" t="s">
        <v>1774</v>
      </c>
    </row>
    <row r="6" spans="1:1" ht="27.75" customHeight="1" x14ac:dyDescent="0.2">
      <c r="A6" s="282" t="s">
        <v>1775</v>
      </c>
    </row>
    <row r="7" spans="1:1" x14ac:dyDescent="0.2">
      <c r="A7" s="282"/>
    </row>
    <row r="8" spans="1:1" x14ac:dyDescent="0.2">
      <c r="A8" s="283" t="s">
        <v>1776</v>
      </c>
    </row>
    <row r="9" spans="1:1" x14ac:dyDescent="0.2">
      <c r="A9" s="284" t="s">
        <v>1777</v>
      </c>
    </row>
    <row r="10" spans="1:1" ht="27.75" customHeight="1" x14ac:dyDescent="0.2">
      <c r="A10" s="282" t="s">
        <v>1778</v>
      </c>
    </row>
    <row r="11" spans="1:1" x14ac:dyDescent="0.2">
      <c r="A11" s="284" t="s">
        <v>1779</v>
      </c>
    </row>
    <row r="12" spans="1:1" ht="27.75" customHeight="1" x14ac:dyDescent="0.2">
      <c r="A12" s="282" t="s">
        <v>1780</v>
      </c>
    </row>
    <row r="13" spans="1:1" x14ac:dyDescent="0.2">
      <c r="A13" s="284" t="s">
        <v>1781</v>
      </c>
    </row>
    <row r="14" spans="1:1" ht="41.25" customHeight="1" x14ac:dyDescent="0.2">
      <c r="A14" s="282" t="s">
        <v>1782</v>
      </c>
    </row>
    <row r="15" spans="1:1" x14ac:dyDescent="0.2">
      <c r="A15" s="282"/>
    </row>
    <row r="16" spans="1:1" x14ac:dyDescent="0.2">
      <c r="A16" s="283" t="s">
        <v>1783</v>
      </c>
    </row>
    <row r="17" spans="1:1" ht="27.75" customHeight="1" x14ac:dyDescent="0.2">
      <c r="A17" s="285" t="s">
        <v>1784</v>
      </c>
    </row>
    <row r="18" spans="1:1" ht="27.75" customHeight="1" x14ac:dyDescent="0.2">
      <c r="A18" s="286" t="s">
        <v>1785</v>
      </c>
    </row>
    <row r="19" spans="1:1" x14ac:dyDescent="0.2">
      <c r="A19" s="287" t="s">
        <v>1786</v>
      </c>
    </row>
    <row r="20" spans="1:1" x14ac:dyDescent="0.2">
      <c r="A20" s="282" t="s">
        <v>1787</v>
      </c>
    </row>
    <row r="21" spans="1:1" x14ac:dyDescent="0.2">
      <c r="A21" s="282" t="s">
        <v>1788</v>
      </c>
    </row>
    <row r="22" spans="1:1" x14ac:dyDescent="0.2">
      <c r="A22" s="282" t="s">
        <v>1789</v>
      </c>
    </row>
    <row r="23" spans="1:1" x14ac:dyDescent="0.2">
      <c r="A23" s="282" t="s">
        <v>1790</v>
      </c>
    </row>
    <row r="24" spans="1:1" x14ac:dyDescent="0.2">
      <c r="A24" s="282"/>
    </row>
    <row r="25" spans="1:1" ht="27.75" customHeight="1" x14ac:dyDescent="0.2">
      <c r="A25" s="288" t="s">
        <v>1791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zoomScaleNormal="100" workbookViewId="0"/>
  </sheetViews>
  <sheetFormatPr defaultColWidth="8.609375" defaultRowHeight="15" x14ac:dyDescent="0.2"/>
  <cols>
    <col min="1" max="1" width="6.05078125" style="396" customWidth="1"/>
    <col min="2" max="2" width="6.9921875" style="396" customWidth="1"/>
    <col min="3" max="3" width="29.99609375" style="396" customWidth="1"/>
    <col min="4" max="4" width="13.98828125" style="396" customWidth="1"/>
    <col min="5" max="7" width="4.9765625" style="396" customWidth="1"/>
    <col min="8" max="9" width="4.03515625" style="396" customWidth="1"/>
    <col min="10" max="10" width="9.953125" style="396" customWidth="1"/>
    <col min="11" max="11" width="11.02734375" style="396" customWidth="1"/>
    <col min="12" max="12" width="13.98828125" style="396" customWidth="1"/>
    <col min="13" max="13" width="9.953125" style="396" customWidth="1"/>
    <col min="14" max="15" width="11.02734375" style="396" customWidth="1"/>
    <col min="16" max="16" width="50.04296875" style="396" customWidth="1"/>
  </cols>
  <sheetData>
    <row r="1" spans="1:16" ht="18.75" customHeight="1" x14ac:dyDescent="0.25">
      <c r="A1" s="464" t="s">
        <v>1792</v>
      </c>
      <c r="B1" s="416"/>
      <c r="C1" s="416"/>
      <c r="D1" s="416"/>
      <c r="E1" s="416"/>
      <c r="F1" s="416"/>
      <c r="G1" s="416"/>
      <c r="H1" s="416"/>
      <c r="I1" s="416"/>
      <c r="J1" s="416"/>
      <c r="K1" s="416"/>
      <c r="L1" s="416"/>
      <c r="M1" s="416"/>
      <c r="N1" s="416"/>
      <c r="O1" s="416"/>
      <c r="P1" s="416"/>
    </row>
    <row r="2" spans="1:16" ht="15" customHeight="1" x14ac:dyDescent="0.2">
      <c r="A2" s="467" t="s">
        <v>1793</v>
      </c>
      <c r="B2" s="416"/>
      <c r="C2" s="416"/>
      <c r="D2" s="416"/>
      <c r="E2" s="416"/>
      <c r="F2" s="416"/>
      <c r="G2" s="416"/>
      <c r="H2" s="416"/>
      <c r="I2" s="416"/>
      <c r="J2" s="416"/>
      <c r="K2" s="416"/>
      <c r="L2" s="416"/>
      <c r="M2" s="416"/>
      <c r="N2" s="416"/>
      <c r="O2" s="416"/>
      <c r="P2" s="416"/>
    </row>
    <row r="3" spans="1:16" ht="15" customHeight="1" x14ac:dyDescent="0.2">
      <c r="A3" s="466" t="s">
        <v>1794</v>
      </c>
      <c r="B3" s="416"/>
      <c r="C3" s="416"/>
      <c r="D3" s="416"/>
      <c r="E3" s="416"/>
      <c r="F3" s="416"/>
      <c r="G3" s="416"/>
      <c r="H3" s="416"/>
      <c r="I3" s="416"/>
      <c r="J3" s="416"/>
      <c r="K3" s="416"/>
      <c r="L3" s="416"/>
      <c r="M3" s="416"/>
      <c r="N3" s="416"/>
      <c r="O3" s="416"/>
      <c r="P3" s="416"/>
    </row>
    <row r="5" spans="1:16" ht="30" customHeight="1" x14ac:dyDescent="0.2">
      <c r="A5" s="62" t="s">
        <v>1795</v>
      </c>
      <c r="B5" s="62" t="s">
        <v>1796</v>
      </c>
      <c r="C5" s="62" t="s">
        <v>1101</v>
      </c>
      <c r="D5" s="62" t="s">
        <v>1797</v>
      </c>
      <c r="E5" s="62" t="s">
        <v>1798</v>
      </c>
      <c r="F5" s="62" t="s">
        <v>1799</v>
      </c>
      <c r="G5" s="62" t="s">
        <v>1800</v>
      </c>
      <c r="H5" s="62" t="s">
        <v>1801</v>
      </c>
      <c r="I5" s="62" t="s">
        <v>1802</v>
      </c>
      <c r="J5" s="62" t="s">
        <v>1803</v>
      </c>
      <c r="K5" s="62" t="s">
        <v>1804</v>
      </c>
      <c r="L5" s="62" t="s">
        <v>1805</v>
      </c>
      <c r="M5" s="62" t="s">
        <v>1806</v>
      </c>
      <c r="N5" s="62" t="s">
        <v>1807</v>
      </c>
      <c r="O5" s="62" t="s">
        <v>1808</v>
      </c>
      <c r="P5" s="62" t="s">
        <v>1809</v>
      </c>
    </row>
    <row r="6" spans="1:16" ht="15" customHeight="1" x14ac:dyDescent="0.2">
      <c r="A6" s="63">
        <v>1</v>
      </c>
      <c r="B6" s="63">
        <v>5</v>
      </c>
      <c r="C6" s="63" t="s">
        <v>1115</v>
      </c>
      <c r="D6" s="63" t="s">
        <v>1810</v>
      </c>
      <c r="E6" s="63">
        <v>0.8</v>
      </c>
      <c r="F6" s="63">
        <v>0.85</v>
      </c>
      <c r="G6" s="63">
        <v>0.25</v>
      </c>
      <c r="H6" s="63">
        <v>4</v>
      </c>
      <c r="I6" s="63">
        <v>6</v>
      </c>
      <c r="J6" s="63">
        <v>1</v>
      </c>
      <c r="K6" s="64" t="s">
        <v>1116</v>
      </c>
      <c r="L6" s="63" t="s">
        <v>371</v>
      </c>
      <c r="M6" s="63">
        <v>0</v>
      </c>
      <c r="N6" s="63">
        <v>1</v>
      </c>
      <c r="O6" s="64" t="s">
        <v>1116</v>
      </c>
      <c r="P6" s="63" t="s">
        <v>1811</v>
      </c>
    </row>
    <row r="7" spans="1:16" ht="15" customHeight="1" x14ac:dyDescent="0.2">
      <c r="A7" s="63">
        <v>2</v>
      </c>
      <c r="B7" s="63">
        <v>8</v>
      </c>
      <c r="C7" s="63" t="s">
        <v>1120</v>
      </c>
      <c r="D7" s="63" t="s">
        <v>1812</v>
      </c>
      <c r="E7" s="63">
        <v>0.85</v>
      </c>
      <c r="F7" s="63">
        <v>0.8</v>
      </c>
      <c r="G7" s="63">
        <v>0.2</v>
      </c>
      <c r="H7" s="63">
        <v>6</v>
      </c>
      <c r="I7" s="63">
        <v>5</v>
      </c>
      <c r="J7" s="63">
        <v>1</v>
      </c>
      <c r="K7" s="64" t="s">
        <v>1116</v>
      </c>
      <c r="L7" s="63" t="s">
        <v>371</v>
      </c>
      <c r="M7" s="63">
        <v>0</v>
      </c>
      <c r="N7" s="63">
        <v>1</v>
      </c>
      <c r="O7" s="64" t="s">
        <v>1116</v>
      </c>
      <c r="P7" s="63" t="s">
        <v>1811</v>
      </c>
    </row>
    <row r="8" spans="1:16" ht="15" customHeight="1" x14ac:dyDescent="0.2">
      <c r="A8" s="63">
        <v>3</v>
      </c>
      <c r="B8" s="63">
        <v>10</v>
      </c>
      <c r="C8" s="63" t="s">
        <v>1123</v>
      </c>
      <c r="D8" s="63" t="s">
        <v>1812</v>
      </c>
      <c r="E8" s="63">
        <v>0.9</v>
      </c>
      <c r="F8" s="63">
        <v>0.85</v>
      </c>
      <c r="G8" s="63">
        <v>0.28000000000000003</v>
      </c>
      <c r="H8" s="63">
        <v>6</v>
      </c>
      <c r="I8" s="63">
        <v>5</v>
      </c>
      <c r="J8" s="63">
        <v>1</v>
      </c>
      <c r="K8" s="64" t="s">
        <v>1116</v>
      </c>
      <c r="L8" s="63" t="s">
        <v>371</v>
      </c>
      <c r="M8" s="63">
        <v>0</v>
      </c>
      <c r="N8" s="63">
        <v>1</v>
      </c>
      <c r="O8" s="64" t="s">
        <v>1116</v>
      </c>
      <c r="P8" s="63" t="s">
        <v>1811</v>
      </c>
    </row>
    <row r="9" spans="1:16" ht="15" customHeight="1" x14ac:dyDescent="0.2">
      <c r="A9" s="63">
        <v>4</v>
      </c>
      <c r="B9" s="63">
        <v>12</v>
      </c>
      <c r="C9" s="63" t="s">
        <v>1126</v>
      </c>
      <c r="D9" s="63" t="s">
        <v>1813</v>
      </c>
      <c r="E9" s="63">
        <v>0.8</v>
      </c>
      <c r="F9" s="63">
        <v>0.75</v>
      </c>
      <c r="G9" s="63">
        <v>0.3</v>
      </c>
      <c r="H9" s="63">
        <v>4</v>
      </c>
      <c r="I9" s="63">
        <v>5</v>
      </c>
      <c r="J9" s="63">
        <v>1</v>
      </c>
      <c r="K9" s="64" t="s">
        <v>1116</v>
      </c>
      <c r="L9" s="63" t="s">
        <v>371</v>
      </c>
      <c r="M9" s="63">
        <v>0</v>
      </c>
      <c r="N9" s="63">
        <v>1</v>
      </c>
      <c r="O9" s="64" t="s">
        <v>1116</v>
      </c>
      <c r="P9" s="63" t="s">
        <v>1811</v>
      </c>
    </row>
    <row r="10" spans="1:16" ht="15" customHeight="1" x14ac:dyDescent="0.2">
      <c r="A10" s="63">
        <v>5</v>
      </c>
      <c r="B10" s="63">
        <v>18</v>
      </c>
      <c r="C10" s="63" t="s">
        <v>1136</v>
      </c>
      <c r="D10" s="63" t="s">
        <v>1814</v>
      </c>
      <c r="E10" s="63">
        <v>0.85</v>
      </c>
      <c r="F10" s="63">
        <v>0.8</v>
      </c>
      <c r="G10" s="63">
        <v>0.25</v>
      </c>
      <c r="H10" s="63">
        <v>5</v>
      </c>
      <c r="I10" s="63">
        <v>6</v>
      </c>
      <c r="J10" s="63">
        <v>1</v>
      </c>
      <c r="K10" s="64" t="s">
        <v>1116</v>
      </c>
      <c r="L10" s="63" t="s">
        <v>371</v>
      </c>
      <c r="M10" s="63">
        <v>0</v>
      </c>
      <c r="N10" s="63">
        <v>1</v>
      </c>
      <c r="O10" s="64" t="s">
        <v>1116</v>
      </c>
      <c r="P10" s="63" t="s">
        <v>1811</v>
      </c>
    </row>
    <row r="11" spans="1:16" ht="15" customHeight="1" x14ac:dyDescent="0.2">
      <c r="A11" s="63">
        <v>6</v>
      </c>
      <c r="B11" s="63">
        <v>20</v>
      </c>
      <c r="C11" s="63" t="s">
        <v>1815</v>
      </c>
      <c r="D11" s="63" t="s">
        <v>1812</v>
      </c>
      <c r="E11" s="63">
        <v>0.9</v>
      </c>
      <c r="F11" s="63">
        <v>0.8</v>
      </c>
      <c r="G11" s="63">
        <v>0.2</v>
      </c>
      <c r="H11" s="63">
        <v>6</v>
      </c>
      <c r="I11" s="63">
        <v>5</v>
      </c>
      <c r="J11" s="63">
        <v>1</v>
      </c>
      <c r="K11" s="64" t="s">
        <v>1116</v>
      </c>
      <c r="L11" s="63" t="s">
        <v>371</v>
      </c>
      <c r="M11" s="63">
        <v>0</v>
      </c>
      <c r="N11" s="63">
        <v>1</v>
      </c>
      <c r="O11" s="64" t="s">
        <v>1116</v>
      </c>
      <c r="P11" s="63" t="s">
        <v>1811</v>
      </c>
    </row>
    <row r="12" spans="1:16" ht="15" customHeight="1" x14ac:dyDescent="0.2">
      <c r="A12" s="63">
        <v>7</v>
      </c>
      <c r="B12" s="63">
        <v>4</v>
      </c>
      <c r="C12" s="63" t="s">
        <v>1113</v>
      </c>
      <c r="D12" s="63" t="s">
        <v>1816</v>
      </c>
      <c r="E12" s="63">
        <v>0.7</v>
      </c>
      <c r="F12" s="63">
        <v>0.75</v>
      </c>
      <c r="G12" s="63">
        <v>0.3</v>
      </c>
      <c r="H12" s="63">
        <v>5</v>
      </c>
      <c r="I12" s="63">
        <v>6</v>
      </c>
      <c r="J12" s="63">
        <v>0.98950000000000005</v>
      </c>
      <c r="K12" s="64" t="s">
        <v>1116</v>
      </c>
      <c r="L12" s="63" t="s">
        <v>1817</v>
      </c>
      <c r="M12" s="63">
        <v>1.0500000000000001E-2</v>
      </c>
      <c r="N12" s="63">
        <v>1</v>
      </c>
      <c r="O12" s="64" t="s">
        <v>1116</v>
      </c>
      <c r="P12" s="63" t="s">
        <v>1818</v>
      </c>
    </row>
    <row r="13" spans="1:16" ht="15" customHeight="1" x14ac:dyDescent="0.2">
      <c r="A13" s="63">
        <v>8</v>
      </c>
      <c r="B13" s="63">
        <v>9</v>
      </c>
      <c r="C13" s="63" t="s">
        <v>1121</v>
      </c>
      <c r="D13" s="63" t="s">
        <v>1813</v>
      </c>
      <c r="E13" s="63">
        <v>0.8</v>
      </c>
      <c r="F13" s="63">
        <v>0.7</v>
      </c>
      <c r="G13" s="63">
        <v>0.35</v>
      </c>
      <c r="H13" s="63">
        <v>4</v>
      </c>
      <c r="I13" s="63">
        <v>5</v>
      </c>
      <c r="J13" s="63">
        <v>0.88109999999999999</v>
      </c>
      <c r="K13" s="64" t="s">
        <v>1116</v>
      </c>
      <c r="L13" s="63" t="s">
        <v>1817</v>
      </c>
      <c r="M13" s="63">
        <v>0.11890000000000001</v>
      </c>
      <c r="N13" s="63">
        <v>1</v>
      </c>
      <c r="O13" s="64" t="s">
        <v>1116</v>
      </c>
      <c r="P13" s="63" t="s">
        <v>1819</v>
      </c>
    </row>
    <row r="14" spans="1:16" ht="15" customHeight="1" x14ac:dyDescent="0.2">
      <c r="A14" s="63">
        <v>9</v>
      </c>
      <c r="B14" s="63">
        <v>16</v>
      </c>
      <c r="C14" s="63" t="s">
        <v>1820</v>
      </c>
      <c r="D14" s="63" t="s">
        <v>1814</v>
      </c>
      <c r="E14" s="63">
        <v>0.8</v>
      </c>
      <c r="F14" s="63">
        <v>0.75</v>
      </c>
      <c r="G14" s="63">
        <v>0.4</v>
      </c>
      <c r="H14" s="63">
        <v>5</v>
      </c>
      <c r="I14" s="63">
        <v>6</v>
      </c>
      <c r="J14" s="63">
        <v>0.84809999999999997</v>
      </c>
      <c r="K14" s="65" t="s">
        <v>1109</v>
      </c>
      <c r="L14" s="63" t="s">
        <v>1817</v>
      </c>
      <c r="M14" s="63">
        <v>0.15190000000000001</v>
      </c>
      <c r="N14" s="63">
        <v>1</v>
      </c>
      <c r="O14" s="64" t="s">
        <v>1116</v>
      </c>
      <c r="P14" s="63" t="s">
        <v>1821</v>
      </c>
    </row>
    <row r="15" spans="1:16" ht="15" customHeight="1" x14ac:dyDescent="0.2">
      <c r="A15" s="63">
        <v>10</v>
      </c>
      <c r="B15" s="63">
        <v>17</v>
      </c>
      <c r="C15" s="63" t="s">
        <v>1134</v>
      </c>
      <c r="D15" s="63" t="s">
        <v>1814</v>
      </c>
      <c r="E15" s="63">
        <v>0.75</v>
      </c>
      <c r="F15" s="63">
        <v>0.7</v>
      </c>
      <c r="G15" s="63">
        <v>0.35</v>
      </c>
      <c r="H15" s="63">
        <v>5</v>
      </c>
      <c r="I15" s="63">
        <v>6</v>
      </c>
      <c r="J15" s="63">
        <v>0.84809999999999997</v>
      </c>
      <c r="K15" s="65" t="s">
        <v>1109</v>
      </c>
      <c r="L15" s="63" t="s">
        <v>1817</v>
      </c>
      <c r="M15" s="63">
        <v>0.15190000000000001</v>
      </c>
      <c r="N15" s="63">
        <v>1</v>
      </c>
      <c r="O15" s="64" t="s">
        <v>1116</v>
      </c>
      <c r="P15" s="63" t="s">
        <v>1821</v>
      </c>
    </row>
    <row r="16" spans="1:16" ht="15" customHeight="1" x14ac:dyDescent="0.2">
      <c r="A16" s="63">
        <v>11</v>
      </c>
      <c r="B16" s="63">
        <v>2</v>
      </c>
      <c r="C16" s="63" t="s">
        <v>1110</v>
      </c>
      <c r="D16" s="63" t="s">
        <v>1822</v>
      </c>
      <c r="E16" s="63">
        <v>0.75</v>
      </c>
      <c r="F16" s="63">
        <v>0.8</v>
      </c>
      <c r="G16" s="63">
        <v>0.35</v>
      </c>
      <c r="H16" s="63">
        <v>4</v>
      </c>
      <c r="I16" s="63">
        <v>6</v>
      </c>
      <c r="J16" s="63">
        <v>0.83409999999999995</v>
      </c>
      <c r="K16" s="65" t="s">
        <v>1109</v>
      </c>
      <c r="L16" s="63" t="s">
        <v>1817</v>
      </c>
      <c r="M16" s="63">
        <v>0.16589999999999999</v>
      </c>
      <c r="N16" s="63">
        <v>1</v>
      </c>
      <c r="O16" s="64" t="s">
        <v>1116</v>
      </c>
      <c r="P16" s="63" t="s">
        <v>1823</v>
      </c>
    </row>
    <row r="17" spans="1:16" ht="15" customHeight="1" x14ac:dyDescent="0.2">
      <c r="A17" s="63">
        <v>12</v>
      </c>
      <c r="B17" s="63">
        <v>1</v>
      </c>
      <c r="C17" s="63" t="s">
        <v>1108</v>
      </c>
      <c r="D17" s="63" t="s">
        <v>1824</v>
      </c>
      <c r="E17" s="63">
        <v>0.8</v>
      </c>
      <c r="F17" s="63">
        <v>0.7</v>
      </c>
      <c r="G17" s="63">
        <v>0.4</v>
      </c>
      <c r="H17" s="63">
        <v>5</v>
      </c>
      <c r="I17" s="63">
        <v>7</v>
      </c>
      <c r="J17" s="63">
        <v>0.71460000000000001</v>
      </c>
      <c r="K17" s="65" t="s">
        <v>1109</v>
      </c>
      <c r="L17" s="63" t="s">
        <v>1825</v>
      </c>
      <c r="M17" s="63">
        <v>0.28539999999999999</v>
      </c>
      <c r="N17" s="63">
        <v>1</v>
      </c>
      <c r="O17" s="64" t="s">
        <v>1116</v>
      </c>
      <c r="P17" s="63" t="s">
        <v>1826</v>
      </c>
    </row>
    <row r="18" spans="1:16" ht="15" customHeight="1" x14ac:dyDescent="0.2">
      <c r="A18" s="63">
        <v>13</v>
      </c>
      <c r="B18" s="63">
        <v>14</v>
      </c>
      <c r="C18" s="63" t="s">
        <v>1129</v>
      </c>
      <c r="D18" s="63" t="s">
        <v>1824</v>
      </c>
      <c r="E18" s="63">
        <v>0.75</v>
      </c>
      <c r="F18" s="63">
        <v>0.7</v>
      </c>
      <c r="G18" s="63">
        <v>0.4</v>
      </c>
      <c r="H18" s="63">
        <v>5</v>
      </c>
      <c r="I18" s="63">
        <v>7</v>
      </c>
      <c r="J18" s="63">
        <v>0.67</v>
      </c>
      <c r="K18" s="65" t="s">
        <v>1109</v>
      </c>
      <c r="L18" s="63" t="s">
        <v>1825</v>
      </c>
      <c r="M18" s="63">
        <v>0.33</v>
      </c>
      <c r="N18" s="63">
        <v>1</v>
      </c>
      <c r="O18" s="64" t="s">
        <v>1116</v>
      </c>
      <c r="P18" s="63" t="s">
        <v>1827</v>
      </c>
    </row>
    <row r="19" spans="1:16" ht="15" customHeight="1" x14ac:dyDescent="0.2">
      <c r="A19" s="63">
        <v>14</v>
      </c>
      <c r="B19" s="63">
        <v>6</v>
      </c>
      <c r="C19" s="63" t="s">
        <v>1117</v>
      </c>
      <c r="D19" s="63" t="s">
        <v>1810</v>
      </c>
      <c r="E19" s="63">
        <v>0.75</v>
      </c>
      <c r="F19" s="63">
        <v>0.7</v>
      </c>
      <c r="G19" s="63">
        <v>0.4</v>
      </c>
      <c r="H19" s="63">
        <v>4</v>
      </c>
      <c r="I19" s="63">
        <v>6</v>
      </c>
      <c r="J19" s="63">
        <v>0.63859999999999995</v>
      </c>
      <c r="K19" s="65" t="s">
        <v>1109</v>
      </c>
      <c r="L19" s="63" t="s">
        <v>1825</v>
      </c>
      <c r="M19" s="63">
        <v>0.3614</v>
      </c>
      <c r="N19" s="63">
        <v>1</v>
      </c>
      <c r="O19" s="64" t="s">
        <v>1116</v>
      </c>
      <c r="P19" s="63" t="s">
        <v>1828</v>
      </c>
    </row>
    <row r="20" spans="1:16" ht="15" customHeight="1" x14ac:dyDescent="0.2">
      <c r="A20" s="63">
        <v>15</v>
      </c>
      <c r="B20" s="63">
        <v>3</v>
      </c>
      <c r="C20" s="63" t="s">
        <v>1111</v>
      </c>
      <c r="D20" s="63" t="s">
        <v>1816</v>
      </c>
      <c r="E20" s="63">
        <v>0.85</v>
      </c>
      <c r="F20" s="63">
        <v>0.6</v>
      </c>
      <c r="G20" s="63">
        <v>0.5</v>
      </c>
      <c r="H20" s="63">
        <v>4</v>
      </c>
      <c r="I20" s="63">
        <v>6</v>
      </c>
      <c r="J20" s="63">
        <v>0.49630000000000002</v>
      </c>
      <c r="K20" s="66" t="s">
        <v>1128</v>
      </c>
      <c r="L20" s="63" t="s">
        <v>1825</v>
      </c>
      <c r="M20" s="63">
        <v>0.2127</v>
      </c>
      <c r="N20" s="63">
        <v>0.70899999999999996</v>
      </c>
      <c r="O20" s="65" t="s">
        <v>1109</v>
      </c>
      <c r="P20" s="63" t="s">
        <v>1829</v>
      </c>
    </row>
    <row r="21" spans="1:16" ht="15" customHeight="1" x14ac:dyDescent="0.2">
      <c r="A21" s="63">
        <v>16</v>
      </c>
      <c r="B21" s="63">
        <v>19</v>
      </c>
      <c r="C21" s="63" t="s">
        <v>1830</v>
      </c>
      <c r="D21" s="63" t="s">
        <v>1814</v>
      </c>
      <c r="E21" s="63">
        <v>0.8</v>
      </c>
      <c r="F21" s="63">
        <v>0.65</v>
      </c>
      <c r="G21" s="63">
        <v>0.57999999999999996</v>
      </c>
      <c r="H21" s="63">
        <v>4</v>
      </c>
      <c r="I21" s="63">
        <v>6</v>
      </c>
      <c r="J21" s="63">
        <v>0.43619999999999998</v>
      </c>
      <c r="K21" s="66" t="s">
        <v>1128</v>
      </c>
      <c r="L21" s="63" t="s">
        <v>1831</v>
      </c>
      <c r="M21" s="63">
        <v>0.18110000000000001</v>
      </c>
      <c r="N21" s="63">
        <v>0.61739999999999995</v>
      </c>
      <c r="O21" s="65" t="s">
        <v>1109</v>
      </c>
      <c r="P21" s="63" t="s">
        <v>1832</v>
      </c>
    </row>
    <row r="22" spans="1:16" ht="15" customHeight="1" x14ac:dyDescent="0.2">
      <c r="A22" s="63">
        <v>17</v>
      </c>
      <c r="B22" s="63">
        <v>13</v>
      </c>
      <c r="C22" s="63" t="s">
        <v>1127</v>
      </c>
      <c r="D22" s="63" t="s">
        <v>1822</v>
      </c>
      <c r="E22" s="63">
        <v>0.7</v>
      </c>
      <c r="F22" s="63">
        <v>0.6</v>
      </c>
      <c r="G22" s="63">
        <v>0.5</v>
      </c>
      <c r="H22" s="63">
        <v>4</v>
      </c>
      <c r="I22" s="63">
        <v>6</v>
      </c>
      <c r="J22" s="63">
        <v>0.40870000000000001</v>
      </c>
      <c r="K22" s="66" t="s">
        <v>1128</v>
      </c>
      <c r="L22" s="63" t="s">
        <v>1825</v>
      </c>
      <c r="M22" s="63">
        <v>0.17519999999999999</v>
      </c>
      <c r="N22" s="63">
        <v>0.58389999999999997</v>
      </c>
      <c r="O22" s="66" t="s">
        <v>1128</v>
      </c>
      <c r="P22" s="63" t="s">
        <v>1833</v>
      </c>
    </row>
    <row r="23" spans="1:16" ht="15" customHeight="1" x14ac:dyDescent="0.2">
      <c r="A23" s="63">
        <v>18</v>
      </c>
      <c r="B23" s="63">
        <v>11</v>
      </c>
      <c r="C23" s="63" t="s">
        <v>1125</v>
      </c>
      <c r="D23" s="63" t="s">
        <v>1834</v>
      </c>
      <c r="E23" s="63">
        <v>0.75</v>
      </c>
      <c r="F23" s="63">
        <v>0.65</v>
      </c>
      <c r="G23" s="63">
        <v>0.45</v>
      </c>
      <c r="H23" s="63">
        <v>3</v>
      </c>
      <c r="I23" s="63">
        <v>8</v>
      </c>
      <c r="J23" s="63">
        <v>0.33879999999999999</v>
      </c>
      <c r="K23" s="66" t="s">
        <v>1128</v>
      </c>
      <c r="L23" s="63" t="s">
        <v>1831</v>
      </c>
      <c r="M23" s="63">
        <v>0.23280000000000001</v>
      </c>
      <c r="N23" s="63">
        <v>0.5716</v>
      </c>
      <c r="O23" s="66" t="s">
        <v>1128</v>
      </c>
      <c r="P23" s="63" t="s">
        <v>1835</v>
      </c>
    </row>
    <row r="24" spans="1:16" ht="15" customHeight="1" x14ac:dyDescent="0.2">
      <c r="A24" s="63">
        <v>19</v>
      </c>
      <c r="B24" s="63">
        <v>15</v>
      </c>
      <c r="C24" s="63" t="s">
        <v>1131</v>
      </c>
      <c r="D24" s="63" t="s">
        <v>1814</v>
      </c>
      <c r="E24" s="63">
        <v>0.65</v>
      </c>
      <c r="F24" s="63">
        <v>0.55000000000000004</v>
      </c>
      <c r="G24" s="63">
        <v>0.55000000000000004</v>
      </c>
      <c r="H24" s="63">
        <v>4</v>
      </c>
      <c r="I24" s="63">
        <v>6</v>
      </c>
      <c r="J24" s="63">
        <v>0.31630000000000003</v>
      </c>
      <c r="K24" s="66" t="s">
        <v>1128</v>
      </c>
      <c r="L24" s="63" t="s">
        <v>1831</v>
      </c>
      <c r="M24" s="63">
        <v>0.1313</v>
      </c>
      <c r="N24" s="63">
        <v>0.4476</v>
      </c>
      <c r="O24" s="66" t="s">
        <v>1128</v>
      </c>
      <c r="P24" s="63" t="s">
        <v>1836</v>
      </c>
    </row>
    <row r="25" spans="1:16" ht="15" customHeight="1" x14ac:dyDescent="0.2">
      <c r="A25" s="63">
        <v>20</v>
      </c>
      <c r="B25" s="63">
        <v>21</v>
      </c>
      <c r="C25" s="63" t="s">
        <v>1837</v>
      </c>
      <c r="D25" s="63" t="s">
        <v>1838</v>
      </c>
      <c r="E25" s="63">
        <v>0.7</v>
      </c>
      <c r="F25" s="63">
        <v>0.6</v>
      </c>
      <c r="G25" s="63">
        <v>0.55000000000000004</v>
      </c>
      <c r="H25" s="63">
        <v>3</v>
      </c>
      <c r="I25" s="63">
        <v>8</v>
      </c>
      <c r="J25" s="63">
        <v>0.23880000000000001</v>
      </c>
      <c r="K25" s="67" t="s">
        <v>388</v>
      </c>
      <c r="L25" s="63" t="s">
        <v>1831</v>
      </c>
      <c r="M25" s="63">
        <v>0.1641</v>
      </c>
      <c r="N25" s="63">
        <v>0.40289999999999998</v>
      </c>
      <c r="O25" s="66" t="s">
        <v>1128</v>
      </c>
      <c r="P25" s="63" t="s">
        <v>1839</v>
      </c>
    </row>
    <row r="26" spans="1:16" ht="15" customHeight="1" x14ac:dyDescent="0.2">
      <c r="A26" s="63">
        <v>21</v>
      </c>
      <c r="B26" s="63">
        <v>7</v>
      </c>
      <c r="C26" s="63" t="s">
        <v>1840</v>
      </c>
      <c r="D26" s="63" t="s">
        <v>1810</v>
      </c>
      <c r="E26" s="63">
        <v>0.6</v>
      </c>
      <c r="F26" s="63">
        <v>0.5</v>
      </c>
      <c r="G26" s="63">
        <v>0.68</v>
      </c>
      <c r="H26" s="63">
        <v>3</v>
      </c>
      <c r="I26" s="63">
        <v>6</v>
      </c>
      <c r="J26" s="63">
        <v>0.1736</v>
      </c>
      <c r="K26" s="67" t="s">
        <v>388</v>
      </c>
      <c r="L26" s="63" t="s">
        <v>1831</v>
      </c>
      <c r="M26" s="63">
        <v>0.1053</v>
      </c>
      <c r="N26" s="63">
        <v>0.27889999999999998</v>
      </c>
      <c r="O26" s="67" t="s">
        <v>388</v>
      </c>
      <c r="P26" s="63" t="s">
        <v>1841</v>
      </c>
    </row>
    <row r="29" spans="1:16" ht="15" customHeight="1" x14ac:dyDescent="0.2">
      <c r="A29" s="465" t="s">
        <v>1842</v>
      </c>
      <c r="B29" s="416"/>
      <c r="C29" s="416"/>
      <c r="D29" s="416"/>
      <c r="E29" s="416"/>
      <c r="F29" s="416"/>
      <c r="G29" s="416"/>
      <c r="H29" s="416"/>
      <c r="I29" s="416"/>
      <c r="J29" s="416"/>
      <c r="K29" s="416"/>
      <c r="L29" s="416"/>
      <c r="M29" s="416"/>
      <c r="N29" s="416"/>
      <c r="O29" s="416"/>
      <c r="P29" s="416"/>
    </row>
    <row r="30" spans="1:16" ht="15" customHeight="1" x14ac:dyDescent="0.2">
      <c r="A30" s="68" t="s">
        <v>1804</v>
      </c>
      <c r="B30" s="68" t="s">
        <v>1843</v>
      </c>
      <c r="C30" s="68" t="s">
        <v>1844</v>
      </c>
      <c r="D30" s="68" t="s">
        <v>1845</v>
      </c>
    </row>
    <row r="31" spans="1:16" ht="15" customHeight="1" x14ac:dyDescent="0.2">
      <c r="A31" s="69" t="s">
        <v>1116</v>
      </c>
      <c r="B31" s="70">
        <v>8</v>
      </c>
      <c r="C31" s="70">
        <v>14</v>
      </c>
      <c r="D31" s="70" t="s">
        <v>1846</v>
      </c>
    </row>
    <row r="32" spans="1:16" ht="15" customHeight="1" x14ac:dyDescent="0.2">
      <c r="A32" s="71" t="s">
        <v>1109</v>
      </c>
      <c r="B32" s="70">
        <v>6</v>
      </c>
      <c r="C32" s="70">
        <v>2</v>
      </c>
      <c r="D32" s="70" t="s">
        <v>1847</v>
      </c>
    </row>
    <row r="33" spans="1:16" ht="15" customHeight="1" x14ac:dyDescent="0.2">
      <c r="A33" s="72" t="s">
        <v>1128</v>
      </c>
      <c r="B33" s="70">
        <v>5</v>
      </c>
      <c r="C33" s="70">
        <v>4</v>
      </c>
      <c r="D33" s="70" t="s">
        <v>1848</v>
      </c>
    </row>
    <row r="34" spans="1:16" ht="15" customHeight="1" x14ac:dyDescent="0.2">
      <c r="A34" s="73" t="s">
        <v>388</v>
      </c>
      <c r="B34" s="70">
        <v>2</v>
      </c>
      <c r="C34" s="70">
        <v>1</v>
      </c>
      <c r="D34" s="70" t="s">
        <v>1848</v>
      </c>
    </row>
    <row r="37" spans="1:16" ht="15" customHeight="1" x14ac:dyDescent="0.2">
      <c r="A37" s="465" t="s">
        <v>1849</v>
      </c>
      <c r="B37" s="416"/>
      <c r="C37" s="416"/>
      <c r="D37" s="416"/>
      <c r="E37" s="416"/>
      <c r="F37" s="416"/>
      <c r="G37" s="416"/>
      <c r="H37" s="416"/>
      <c r="I37" s="416"/>
      <c r="J37" s="416"/>
      <c r="K37" s="416"/>
      <c r="L37" s="416"/>
      <c r="M37" s="416"/>
      <c r="N37" s="416"/>
      <c r="O37" s="416"/>
      <c r="P37" s="416"/>
    </row>
    <row r="38" spans="1:16" ht="15" customHeight="1" x14ac:dyDescent="0.2">
      <c r="A38" s="68" t="s">
        <v>1850</v>
      </c>
    </row>
    <row r="39" spans="1:16" ht="15" customHeight="1" x14ac:dyDescent="0.2">
      <c r="A39" s="70" t="s">
        <v>1851</v>
      </c>
    </row>
    <row r="40" spans="1:16" ht="15" customHeight="1" x14ac:dyDescent="0.2">
      <c r="A40" s="70" t="s">
        <v>1852</v>
      </c>
    </row>
    <row r="41" spans="1:16" ht="15" customHeight="1" x14ac:dyDescent="0.2">
      <c r="A41" s="70" t="s">
        <v>1853</v>
      </c>
    </row>
    <row r="42" spans="1:16" ht="15" customHeight="1" x14ac:dyDescent="0.2">
      <c r="A42" s="70" t="s">
        <v>1854</v>
      </c>
    </row>
    <row r="43" spans="1:16" ht="15" customHeight="1" x14ac:dyDescent="0.2">
      <c r="A43" s="70" t="s">
        <v>1855</v>
      </c>
    </row>
    <row r="44" spans="1:16" ht="15" customHeight="1" x14ac:dyDescent="0.2">
      <c r="A44" s="68" t="s">
        <v>1856</v>
      </c>
    </row>
    <row r="46" spans="1:16" ht="15" customHeight="1" x14ac:dyDescent="0.2">
      <c r="A46" s="68" t="s">
        <v>1857</v>
      </c>
    </row>
    <row r="47" spans="1:16" ht="15" customHeight="1" x14ac:dyDescent="0.2">
      <c r="A47" s="70" t="s">
        <v>1858</v>
      </c>
    </row>
    <row r="48" spans="1:16" ht="15" customHeight="1" x14ac:dyDescent="0.2">
      <c r="A48" s="70" t="s">
        <v>1859</v>
      </c>
    </row>
    <row r="49" spans="1:2" ht="15" customHeight="1" x14ac:dyDescent="0.2">
      <c r="A49" s="70" t="s">
        <v>1860</v>
      </c>
    </row>
    <row r="50" spans="1:2" ht="15" customHeight="1" x14ac:dyDescent="0.2">
      <c r="A50" s="70" t="s">
        <v>1861</v>
      </c>
    </row>
    <row r="51" spans="1:2" ht="15" customHeight="1" x14ac:dyDescent="0.2">
      <c r="A51" s="70" t="s">
        <v>1862</v>
      </c>
    </row>
    <row r="53" spans="1:2" ht="15" customHeight="1" x14ac:dyDescent="0.2">
      <c r="A53" s="68" t="s">
        <v>1863</v>
      </c>
    </row>
    <row r="54" spans="1:2" ht="15" customHeight="1" x14ac:dyDescent="0.2">
      <c r="A54" s="70" t="s">
        <v>1864</v>
      </c>
    </row>
    <row r="55" spans="1:2" ht="15" customHeight="1" x14ac:dyDescent="0.2">
      <c r="A55" s="70" t="s">
        <v>1865</v>
      </c>
    </row>
    <row r="56" spans="1:2" ht="15" customHeight="1" x14ac:dyDescent="0.2">
      <c r="A56" s="70" t="s">
        <v>1866</v>
      </c>
    </row>
    <row r="57" spans="1:2" ht="15" customHeight="1" x14ac:dyDescent="0.2">
      <c r="A57" s="70" t="s">
        <v>1867</v>
      </c>
    </row>
    <row r="58" spans="1:2" ht="15" customHeight="1" x14ac:dyDescent="0.2">
      <c r="A58" s="68" t="s">
        <v>1868</v>
      </c>
    </row>
    <row r="61" spans="1:2" x14ac:dyDescent="0.2">
      <c r="B61" s="257" t="s">
        <v>853</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396" customWidth="1"/>
    <col min="2" max="2" width="25.9609375" style="396" customWidth="1"/>
    <col min="3" max="6" width="13.046875" style="396" customWidth="1"/>
    <col min="7" max="9" width="14.9296875" style="396" customWidth="1"/>
    <col min="10" max="10" width="29.99609375" style="396" customWidth="1"/>
  </cols>
  <sheetData>
    <row r="1" spans="2:10" ht="30" customHeight="1" x14ac:dyDescent="0.2">
      <c r="B1" s="477" t="s">
        <v>1869</v>
      </c>
      <c r="C1" s="416"/>
      <c r="D1" s="416"/>
      <c r="E1" s="416"/>
      <c r="F1" s="416"/>
      <c r="G1" s="416"/>
      <c r="H1" s="416"/>
      <c r="I1" s="416"/>
    </row>
    <row r="2" spans="2:10" ht="25.5" customHeight="1" x14ac:dyDescent="0.2">
      <c r="B2" s="476" t="s">
        <v>1870</v>
      </c>
      <c r="C2" s="416"/>
      <c r="D2" s="416"/>
      <c r="E2" s="416"/>
      <c r="F2" s="416"/>
      <c r="G2" s="416"/>
      <c r="H2" s="416"/>
      <c r="I2" s="416"/>
    </row>
    <row r="3" spans="2:10" ht="15" customHeight="1" x14ac:dyDescent="0.2">
      <c r="B3" s="474" t="s">
        <v>1871</v>
      </c>
      <c r="C3" s="416"/>
      <c r="D3" s="416"/>
      <c r="E3" s="416"/>
      <c r="F3" s="416"/>
      <c r="G3" s="416"/>
      <c r="H3" s="416"/>
      <c r="I3" s="416"/>
    </row>
    <row r="5" spans="2:10" ht="24" customHeight="1" x14ac:dyDescent="0.2">
      <c r="B5" s="475" t="s">
        <v>1872</v>
      </c>
      <c r="C5" s="416"/>
      <c r="D5" s="416"/>
      <c r="E5" s="416"/>
      <c r="F5" s="416"/>
      <c r="G5" s="416"/>
      <c r="H5" s="416"/>
      <c r="I5" s="416"/>
    </row>
    <row r="6" spans="2:10" ht="30" customHeight="1" x14ac:dyDescent="0.2">
      <c r="B6" s="74" t="s">
        <v>1873</v>
      </c>
      <c r="C6" s="75" t="s">
        <v>1874</v>
      </c>
      <c r="D6" s="75" t="s">
        <v>1875</v>
      </c>
      <c r="E6" s="75" t="s">
        <v>1876</v>
      </c>
      <c r="F6" s="75" t="s">
        <v>1877</v>
      </c>
      <c r="G6" s="75" t="s">
        <v>1878</v>
      </c>
      <c r="H6" s="75" t="s">
        <v>1879</v>
      </c>
      <c r="I6" s="75" t="s">
        <v>1880</v>
      </c>
      <c r="J6" s="76" t="s">
        <v>1881</v>
      </c>
    </row>
    <row r="7" spans="2:10" ht="27.75" customHeight="1" x14ac:dyDescent="0.2">
      <c r="B7" s="77" t="s">
        <v>1882</v>
      </c>
      <c r="C7" s="78" t="s">
        <v>1883</v>
      </c>
      <c r="D7" s="78" t="s">
        <v>1884</v>
      </c>
      <c r="E7" s="79" t="s">
        <v>1885</v>
      </c>
      <c r="F7" s="79" t="s">
        <v>1886</v>
      </c>
      <c r="G7" s="78" t="s">
        <v>1525</v>
      </c>
      <c r="H7" s="78" t="s">
        <v>1887</v>
      </c>
      <c r="I7" s="78" t="s">
        <v>1888</v>
      </c>
      <c r="J7" s="80" t="s">
        <v>1889</v>
      </c>
    </row>
    <row r="8" spans="2:10" ht="27.75" customHeight="1" x14ac:dyDescent="0.2">
      <c r="B8" s="77" t="s">
        <v>1890</v>
      </c>
      <c r="C8" s="78" t="s">
        <v>1891</v>
      </c>
      <c r="D8" s="78" t="s">
        <v>1884</v>
      </c>
      <c r="E8" s="79" t="s">
        <v>1892</v>
      </c>
      <c r="F8" s="79" t="s">
        <v>1893</v>
      </c>
      <c r="G8" s="78" t="s">
        <v>1525</v>
      </c>
      <c r="H8" s="78" t="s">
        <v>1887</v>
      </c>
      <c r="I8" s="78" t="s">
        <v>1888</v>
      </c>
      <c r="J8" s="80" t="s">
        <v>1894</v>
      </c>
    </row>
    <row r="9" spans="2:10" ht="27.75" customHeight="1" x14ac:dyDescent="0.2">
      <c r="B9" s="77" t="s">
        <v>1895</v>
      </c>
      <c r="C9" s="78" t="s">
        <v>1896</v>
      </c>
      <c r="D9" s="78" t="s">
        <v>1884</v>
      </c>
      <c r="E9" s="79" t="s">
        <v>1897</v>
      </c>
      <c r="F9" s="79" t="s">
        <v>1898</v>
      </c>
      <c r="G9" s="78" t="s">
        <v>1525</v>
      </c>
      <c r="H9" s="78" t="s">
        <v>1887</v>
      </c>
      <c r="I9" s="78" t="s">
        <v>1888</v>
      </c>
      <c r="J9" s="80" t="s">
        <v>1899</v>
      </c>
    </row>
    <row r="10" spans="2:10" ht="27.75" customHeight="1" x14ac:dyDescent="0.2">
      <c r="B10" s="77" t="s">
        <v>1900</v>
      </c>
      <c r="C10" s="78" t="s">
        <v>1901</v>
      </c>
      <c r="D10" s="78" t="s">
        <v>1884</v>
      </c>
      <c r="E10" s="79" t="s">
        <v>1902</v>
      </c>
      <c r="F10" s="79" t="s">
        <v>1903</v>
      </c>
      <c r="G10" s="78" t="s">
        <v>1525</v>
      </c>
      <c r="H10" s="78" t="s">
        <v>1887</v>
      </c>
      <c r="I10" s="78" t="s">
        <v>1888</v>
      </c>
      <c r="J10" s="80" t="s">
        <v>1904</v>
      </c>
    </row>
    <row r="11" spans="2:10" ht="27.75" customHeight="1" x14ac:dyDescent="0.2">
      <c r="B11" s="81" t="s">
        <v>1905</v>
      </c>
      <c r="C11" s="82" t="s">
        <v>1906</v>
      </c>
      <c r="D11" s="82" t="s">
        <v>1907</v>
      </c>
      <c r="E11" s="83" t="s">
        <v>1908</v>
      </c>
      <c r="F11" s="83" t="s">
        <v>1909</v>
      </c>
      <c r="G11" s="82" t="s">
        <v>1103</v>
      </c>
      <c r="H11" s="82" t="s">
        <v>1910</v>
      </c>
      <c r="I11" s="82" t="s">
        <v>1888</v>
      </c>
      <c r="J11" s="84" t="s">
        <v>1911</v>
      </c>
    </row>
    <row r="12" spans="2:10" ht="27.75" customHeight="1" x14ac:dyDescent="0.2">
      <c r="B12" s="81" t="s">
        <v>1912</v>
      </c>
      <c r="C12" s="82" t="s">
        <v>1913</v>
      </c>
      <c r="D12" s="82" t="s">
        <v>1907</v>
      </c>
      <c r="E12" s="83" t="s">
        <v>1914</v>
      </c>
      <c r="F12" s="83" t="s">
        <v>1915</v>
      </c>
      <c r="G12" s="82" t="s">
        <v>1523</v>
      </c>
      <c r="H12" s="82" t="s">
        <v>1916</v>
      </c>
      <c r="I12" s="82" t="s">
        <v>1888</v>
      </c>
      <c r="J12" s="84" t="s">
        <v>1917</v>
      </c>
    </row>
    <row r="13" spans="2:10" ht="27.75" customHeight="1" x14ac:dyDescent="0.2">
      <c r="B13" s="81" t="s">
        <v>1918</v>
      </c>
      <c r="C13" s="82" t="s">
        <v>1919</v>
      </c>
      <c r="D13" s="82" t="s">
        <v>1907</v>
      </c>
      <c r="E13" s="83" t="s">
        <v>1920</v>
      </c>
      <c r="F13" s="83" t="s">
        <v>1921</v>
      </c>
      <c r="G13" s="82" t="s">
        <v>1525</v>
      </c>
      <c r="H13" s="82" t="s">
        <v>1922</v>
      </c>
      <c r="I13" s="82" t="s">
        <v>1888</v>
      </c>
      <c r="J13" s="84" t="s">
        <v>1923</v>
      </c>
    </row>
    <row r="14" spans="2:10" ht="27.75" customHeight="1" x14ac:dyDescent="0.2">
      <c r="B14" s="81" t="s">
        <v>1924</v>
      </c>
      <c r="C14" s="82" t="s">
        <v>1925</v>
      </c>
      <c r="D14" s="82" t="s">
        <v>1907</v>
      </c>
      <c r="E14" s="83" t="s">
        <v>1926</v>
      </c>
      <c r="F14" s="83" t="s">
        <v>1927</v>
      </c>
      <c r="G14" s="82" t="s">
        <v>1928</v>
      </c>
      <c r="H14" s="82" t="s">
        <v>1929</v>
      </c>
      <c r="I14" s="82" t="s">
        <v>1888</v>
      </c>
      <c r="J14" s="84" t="s">
        <v>1930</v>
      </c>
    </row>
    <row r="16" spans="2:10" ht="42" customHeight="1" x14ac:dyDescent="0.2">
      <c r="B16" s="468" t="s">
        <v>1931</v>
      </c>
      <c r="C16" s="416"/>
      <c r="D16" s="416"/>
      <c r="E16" s="416"/>
      <c r="F16" s="416"/>
      <c r="G16" s="416"/>
      <c r="H16" s="416"/>
      <c r="I16" s="416"/>
    </row>
    <row r="18" spans="2:10" ht="24" customHeight="1" x14ac:dyDescent="0.2">
      <c r="B18" s="475" t="s">
        <v>1932</v>
      </c>
      <c r="C18" s="416"/>
      <c r="D18" s="416"/>
      <c r="E18" s="416"/>
      <c r="F18" s="416"/>
      <c r="G18" s="416"/>
      <c r="H18" s="416"/>
      <c r="I18" s="416"/>
    </row>
    <row r="19" spans="2:10" ht="30" customHeight="1" x14ac:dyDescent="0.2">
      <c r="B19" s="74" t="s">
        <v>1933</v>
      </c>
      <c r="C19" s="75" t="s">
        <v>1934</v>
      </c>
      <c r="D19" s="75" t="s">
        <v>1935</v>
      </c>
      <c r="E19" s="75"/>
      <c r="F19" s="75"/>
      <c r="G19" s="75"/>
      <c r="H19" s="75"/>
      <c r="I19" s="75"/>
      <c r="J19" s="76"/>
    </row>
    <row r="20" spans="2:10" ht="21.75" customHeight="1" x14ac:dyDescent="0.2">
      <c r="B20" s="85" t="s">
        <v>1936</v>
      </c>
      <c r="C20" s="471" t="s">
        <v>1937</v>
      </c>
      <c r="D20" s="470"/>
      <c r="E20" s="470"/>
      <c r="F20" s="472" t="s">
        <v>1938</v>
      </c>
      <c r="G20" s="470"/>
      <c r="H20" s="470"/>
      <c r="I20" s="470"/>
      <c r="J20" s="473"/>
    </row>
    <row r="21" spans="2:10" ht="21.75" customHeight="1" x14ac:dyDescent="0.2">
      <c r="B21" s="85" t="s">
        <v>1939</v>
      </c>
      <c r="C21" s="471" t="s">
        <v>1940</v>
      </c>
      <c r="D21" s="470"/>
      <c r="E21" s="470"/>
      <c r="F21" s="472" t="s">
        <v>1941</v>
      </c>
      <c r="G21" s="470"/>
      <c r="H21" s="470"/>
      <c r="I21" s="470"/>
      <c r="J21" s="473"/>
    </row>
    <row r="22" spans="2:10" ht="21.75" customHeight="1" x14ac:dyDescent="0.2">
      <c r="B22" s="85" t="s">
        <v>1942</v>
      </c>
      <c r="C22" s="471" t="s">
        <v>1943</v>
      </c>
      <c r="D22" s="470"/>
      <c r="E22" s="470"/>
      <c r="F22" s="472" t="s">
        <v>1944</v>
      </c>
      <c r="G22" s="470"/>
      <c r="H22" s="470"/>
      <c r="I22" s="470"/>
      <c r="J22" s="473"/>
    </row>
    <row r="23" spans="2:10" ht="21.75" customHeight="1" x14ac:dyDescent="0.2">
      <c r="B23" s="85" t="s">
        <v>1945</v>
      </c>
      <c r="C23" s="471" t="s">
        <v>1946</v>
      </c>
      <c r="D23" s="470"/>
      <c r="E23" s="470"/>
      <c r="F23" s="472" t="s">
        <v>1947</v>
      </c>
      <c r="G23" s="470"/>
      <c r="H23" s="470"/>
      <c r="I23" s="470"/>
      <c r="J23" s="473"/>
    </row>
    <row r="24" spans="2:10" ht="21.75" customHeight="1" x14ac:dyDescent="0.2">
      <c r="B24" s="85" t="s">
        <v>1948</v>
      </c>
      <c r="C24" s="471" t="s">
        <v>1506</v>
      </c>
      <c r="D24" s="470"/>
      <c r="E24" s="470"/>
      <c r="F24" s="472" t="s">
        <v>1949</v>
      </c>
      <c r="G24" s="470"/>
      <c r="H24" s="470"/>
      <c r="I24" s="470"/>
      <c r="J24" s="473"/>
    </row>
    <row r="25" spans="2:10" ht="21.75" customHeight="1" x14ac:dyDescent="0.2">
      <c r="B25" s="85" t="s">
        <v>1950</v>
      </c>
      <c r="C25" s="471" t="s">
        <v>1509</v>
      </c>
      <c r="D25" s="470"/>
      <c r="E25" s="470"/>
      <c r="F25" s="472" t="s">
        <v>1951</v>
      </c>
      <c r="G25" s="470"/>
      <c r="H25" s="470"/>
      <c r="I25" s="470"/>
      <c r="J25" s="473"/>
    </row>
    <row r="26" spans="2:10" ht="21.75" customHeight="1" x14ac:dyDescent="0.2">
      <c r="B26" s="85" t="s">
        <v>1952</v>
      </c>
      <c r="C26" s="471" t="s">
        <v>1512</v>
      </c>
      <c r="D26" s="470"/>
      <c r="E26" s="470"/>
      <c r="F26" s="472" t="s">
        <v>1513</v>
      </c>
      <c r="G26" s="470"/>
      <c r="H26" s="470"/>
      <c r="I26" s="470"/>
      <c r="J26" s="473"/>
    </row>
    <row r="27" spans="2:10" ht="21.75" customHeight="1" x14ac:dyDescent="0.2">
      <c r="B27" s="85" t="s">
        <v>1953</v>
      </c>
      <c r="C27" s="471" t="s">
        <v>1515</v>
      </c>
      <c r="D27" s="470"/>
      <c r="E27" s="470"/>
      <c r="F27" s="472" t="s">
        <v>1516</v>
      </c>
      <c r="G27" s="470"/>
      <c r="H27" s="470"/>
      <c r="I27" s="470"/>
      <c r="J27" s="473"/>
    </row>
    <row r="28" spans="2:10" ht="21.75" customHeight="1" x14ac:dyDescent="0.2">
      <c r="B28" s="85" t="s">
        <v>1954</v>
      </c>
      <c r="C28" s="471" t="s">
        <v>1955</v>
      </c>
      <c r="D28" s="470"/>
      <c r="E28" s="470"/>
      <c r="F28" s="472" t="s">
        <v>1519</v>
      </c>
      <c r="G28" s="470"/>
      <c r="H28" s="470"/>
      <c r="I28" s="470"/>
      <c r="J28" s="473"/>
    </row>
    <row r="30" spans="2:10" ht="24" customHeight="1" x14ac:dyDescent="0.2">
      <c r="B30" s="475" t="s">
        <v>1956</v>
      </c>
      <c r="C30" s="416"/>
      <c r="D30" s="416"/>
      <c r="E30" s="416"/>
      <c r="F30" s="416"/>
      <c r="G30" s="416"/>
      <c r="H30" s="416"/>
      <c r="I30" s="416"/>
    </row>
    <row r="31" spans="2:10" ht="55.5" customHeight="1" x14ac:dyDescent="0.2">
      <c r="B31" s="468" t="s">
        <v>1957</v>
      </c>
      <c r="C31" s="416"/>
      <c r="D31" s="416"/>
      <c r="E31" s="416"/>
      <c r="F31" s="416"/>
      <c r="G31" s="416"/>
      <c r="H31" s="416"/>
      <c r="I31" s="416"/>
    </row>
    <row r="32" spans="2:10" ht="30" customHeight="1" x14ac:dyDescent="0.2">
      <c r="B32" s="74" t="s">
        <v>1958</v>
      </c>
      <c r="C32" s="75" t="s">
        <v>1874</v>
      </c>
      <c r="D32" s="75" t="s">
        <v>1959</v>
      </c>
      <c r="E32" s="75" t="s">
        <v>1960</v>
      </c>
      <c r="F32" s="76"/>
      <c r="G32" s="86"/>
      <c r="H32" s="86"/>
      <c r="I32" s="86"/>
      <c r="J32" s="86"/>
    </row>
    <row r="33" spans="2:10" ht="18" customHeight="1" x14ac:dyDescent="0.2">
      <c r="B33" s="87" t="s">
        <v>1961</v>
      </c>
      <c r="C33" s="88" t="s">
        <v>1883</v>
      </c>
      <c r="D33" s="89">
        <v>0</v>
      </c>
      <c r="E33" s="89">
        <v>0</v>
      </c>
      <c r="F33" s="469" t="s">
        <v>1962</v>
      </c>
      <c r="G33" s="470"/>
      <c r="H33" s="470"/>
      <c r="I33" s="470"/>
      <c r="J33" s="470"/>
    </row>
    <row r="34" spans="2:10" ht="18" customHeight="1" x14ac:dyDescent="0.2">
      <c r="B34" s="87" t="s">
        <v>1963</v>
      </c>
      <c r="C34" s="88" t="s">
        <v>1891</v>
      </c>
      <c r="D34" s="89">
        <v>0</v>
      </c>
      <c r="E34" s="89">
        <v>0</v>
      </c>
      <c r="F34" s="469" t="s">
        <v>1962</v>
      </c>
      <c r="G34" s="470"/>
      <c r="H34" s="470"/>
      <c r="I34" s="470"/>
      <c r="J34" s="470"/>
    </row>
    <row r="35" spans="2:10" ht="18" customHeight="1" x14ac:dyDescent="0.2">
      <c r="B35" s="87" t="s">
        <v>1964</v>
      </c>
      <c r="C35" s="88" t="s">
        <v>1896</v>
      </c>
      <c r="D35" s="89">
        <v>0</v>
      </c>
      <c r="E35" s="89">
        <v>2</v>
      </c>
      <c r="F35" s="469" t="s">
        <v>1962</v>
      </c>
      <c r="G35" s="470"/>
      <c r="H35" s="470"/>
      <c r="I35" s="470"/>
      <c r="J35" s="470"/>
    </row>
    <row r="36" spans="2:10" ht="18" customHeight="1" x14ac:dyDescent="0.2">
      <c r="B36" s="87" t="s">
        <v>1965</v>
      </c>
      <c r="C36" s="88" t="s">
        <v>1901</v>
      </c>
      <c r="D36" s="89">
        <v>0</v>
      </c>
      <c r="E36" s="89">
        <v>0</v>
      </c>
      <c r="F36" s="469" t="s">
        <v>1962</v>
      </c>
      <c r="G36" s="470"/>
      <c r="H36" s="470"/>
      <c r="I36" s="470"/>
      <c r="J36" s="470"/>
    </row>
    <row r="37" spans="2:10" ht="18" customHeight="1" x14ac:dyDescent="0.2">
      <c r="B37" s="87" t="s">
        <v>1966</v>
      </c>
      <c r="C37" s="88" t="s">
        <v>1906</v>
      </c>
      <c r="D37" s="89">
        <v>0</v>
      </c>
      <c r="E37" s="89">
        <v>-1</v>
      </c>
      <c r="F37" s="469" t="s">
        <v>1967</v>
      </c>
      <c r="G37" s="470"/>
      <c r="H37" s="470"/>
      <c r="I37" s="470"/>
      <c r="J37" s="470"/>
    </row>
    <row r="38" spans="2:10" ht="18" customHeight="1" x14ac:dyDescent="0.2">
      <c r="B38" s="87" t="s">
        <v>1968</v>
      </c>
      <c r="C38" s="88" t="s">
        <v>1913</v>
      </c>
      <c r="D38" s="89">
        <v>0</v>
      </c>
      <c r="E38" s="89">
        <v>0</v>
      </c>
      <c r="F38" s="469" t="s">
        <v>1969</v>
      </c>
      <c r="G38" s="470"/>
      <c r="H38" s="470"/>
      <c r="I38" s="470"/>
      <c r="J38" s="470"/>
    </row>
    <row r="39" spans="2:10" ht="18" customHeight="1" x14ac:dyDescent="0.2">
      <c r="B39" s="87" t="s">
        <v>1970</v>
      </c>
      <c r="C39" s="88" t="s">
        <v>1919</v>
      </c>
      <c r="D39" s="89">
        <v>0</v>
      </c>
      <c r="E39" s="89">
        <v>0</v>
      </c>
      <c r="F39" s="469" t="s">
        <v>1971</v>
      </c>
      <c r="G39" s="470"/>
      <c r="H39" s="470"/>
      <c r="I39" s="470"/>
      <c r="J39" s="470"/>
    </row>
    <row r="40" spans="2:10" ht="18" customHeight="1" x14ac:dyDescent="0.2">
      <c r="B40" s="87" t="s">
        <v>1972</v>
      </c>
      <c r="C40" s="88" t="s">
        <v>1925</v>
      </c>
      <c r="D40" s="89">
        <v>0</v>
      </c>
      <c r="E40" s="89">
        <v>0</v>
      </c>
      <c r="F40" s="469" t="s">
        <v>1973</v>
      </c>
      <c r="G40" s="470"/>
      <c r="H40" s="470"/>
      <c r="I40" s="470"/>
      <c r="J40" s="470"/>
    </row>
    <row r="42" spans="2:10" ht="24" customHeight="1" x14ac:dyDescent="0.2">
      <c r="B42" s="475" t="s">
        <v>1974</v>
      </c>
      <c r="C42" s="416"/>
      <c r="D42" s="416"/>
      <c r="E42" s="416"/>
      <c r="F42" s="416"/>
      <c r="G42" s="416"/>
      <c r="H42" s="416"/>
      <c r="I42" s="416"/>
    </row>
    <row r="43" spans="2:10" ht="30" customHeight="1" x14ac:dyDescent="0.2">
      <c r="B43" s="74" t="s">
        <v>1975</v>
      </c>
      <c r="C43" s="76" t="s">
        <v>1976</v>
      </c>
      <c r="D43" s="86"/>
      <c r="E43" s="86"/>
      <c r="F43" s="86"/>
      <c r="G43" s="86"/>
      <c r="H43" s="86"/>
      <c r="I43" s="86"/>
      <c r="J43" s="86"/>
    </row>
    <row r="44" spans="2:10" ht="18" customHeight="1" x14ac:dyDescent="0.2">
      <c r="B44" s="87" t="s">
        <v>1977</v>
      </c>
      <c r="C44" s="90">
        <v>7.5</v>
      </c>
    </row>
    <row r="45" spans="2:10" ht="18" customHeight="1" x14ac:dyDescent="0.2">
      <c r="B45" s="87" t="s">
        <v>1978</v>
      </c>
      <c r="C45" s="90">
        <v>6</v>
      </c>
    </row>
    <row r="46" spans="2:10" ht="18" customHeight="1" x14ac:dyDescent="0.2">
      <c r="B46" s="87" t="s">
        <v>1979</v>
      </c>
      <c r="C46" s="90">
        <v>4</v>
      </c>
    </row>
    <row r="47" spans="2:10" ht="18" customHeight="1" x14ac:dyDescent="0.2">
      <c r="B47" s="87" t="s">
        <v>1980</v>
      </c>
      <c r="C47" s="90">
        <v>3.5</v>
      </c>
    </row>
    <row r="48" spans="2:10" ht="18" customHeight="1" x14ac:dyDescent="0.2">
      <c r="B48" s="87" t="s">
        <v>1981</v>
      </c>
      <c r="C48" s="90">
        <v>2</v>
      </c>
    </row>
    <row r="49" spans="2:10" ht="18" customHeight="1" x14ac:dyDescent="0.2">
      <c r="B49" s="87" t="s">
        <v>1982</v>
      </c>
      <c r="C49" s="90">
        <v>12</v>
      </c>
    </row>
    <row r="51" spans="2:10" ht="24" customHeight="1" x14ac:dyDescent="0.2">
      <c r="B51" s="475" t="s">
        <v>1983</v>
      </c>
      <c r="C51" s="416"/>
      <c r="D51" s="416"/>
      <c r="E51" s="416"/>
      <c r="F51" s="416"/>
      <c r="G51" s="416"/>
      <c r="H51" s="416"/>
      <c r="I51" s="416"/>
    </row>
    <row r="52" spans="2:10" ht="30" customHeight="1" x14ac:dyDescent="0.2">
      <c r="B52" s="74" t="s">
        <v>1984</v>
      </c>
      <c r="C52" s="75" t="s">
        <v>1985</v>
      </c>
      <c r="D52" s="75" t="s">
        <v>1986</v>
      </c>
      <c r="E52" s="76" t="s">
        <v>1987</v>
      </c>
      <c r="F52" s="86"/>
      <c r="G52" s="86" t="s">
        <v>254</v>
      </c>
      <c r="H52" s="86"/>
      <c r="I52" s="86"/>
      <c r="J52" s="86"/>
    </row>
    <row r="53" spans="2:10" ht="18" customHeight="1" x14ac:dyDescent="0.2">
      <c r="B53" s="91" t="s">
        <v>1988</v>
      </c>
      <c r="C53" s="92">
        <f>(C44+D37)</f>
        <v>7.5</v>
      </c>
      <c r="D53" s="92">
        <f>(C44+E37)</f>
        <v>6.5</v>
      </c>
      <c r="E53" s="93">
        <f>D53-C53</f>
        <v>-1</v>
      </c>
    </row>
    <row r="54" spans="2:10" ht="18" customHeight="1" x14ac:dyDescent="0.2">
      <c r="B54" s="91" t="s">
        <v>1989</v>
      </c>
      <c r="C54" s="92">
        <f>(C45+D38)</f>
        <v>6</v>
      </c>
      <c r="D54" s="92">
        <f>(C45+E38)</f>
        <v>6</v>
      </c>
      <c r="E54" s="93">
        <f>D54-C54</f>
        <v>0</v>
      </c>
    </row>
    <row r="55" spans="2:10" ht="18" customHeight="1" x14ac:dyDescent="0.2">
      <c r="B55" s="91" t="s">
        <v>1990</v>
      </c>
      <c r="C55" s="92">
        <f>(C46+(D33+D34+D35+D36)-D39)</f>
        <v>4</v>
      </c>
      <c r="D55" s="92">
        <f>(C46+(E33+E34+E35+E36)-E39)</f>
        <v>6</v>
      </c>
      <c r="E55" s="93">
        <f>D55-C55</f>
        <v>2</v>
      </c>
    </row>
    <row r="56" spans="2:10" ht="18" customHeight="1" x14ac:dyDescent="0.2">
      <c r="B56" s="91" t="s">
        <v>1991</v>
      </c>
      <c r="C56" s="92">
        <f>(C48+D40)</f>
        <v>2</v>
      </c>
      <c r="D56" s="92">
        <f>(C48+E40)</f>
        <v>2</v>
      </c>
      <c r="E56" s="93">
        <f>D56-C56</f>
        <v>0</v>
      </c>
    </row>
    <row r="57" spans="2:10" ht="18" customHeight="1" x14ac:dyDescent="0.2">
      <c r="B57" s="91" t="s">
        <v>1992</v>
      </c>
      <c r="C57" s="94">
        <f>((C44+D37)*(C45+D38))</f>
        <v>45</v>
      </c>
      <c r="D57" s="94">
        <f>((C44+E37)*(C45+E38))</f>
        <v>39</v>
      </c>
      <c r="E57" s="95">
        <f>D57-C57</f>
        <v>-6</v>
      </c>
    </row>
    <row r="58" spans="2:10" ht="18" customHeight="1" x14ac:dyDescent="0.2">
      <c r="B58" s="91" t="s">
        <v>1993</v>
      </c>
      <c r="C58" s="94">
        <f>((C46+(D33+D34+D35+D36)-D39)+C47)</f>
        <v>7.5</v>
      </c>
      <c r="D58" s="94">
        <f>((C46+(E33+E34+E35+E36)-E39)+C47)</f>
        <v>9.5</v>
      </c>
      <c r="E58" s="95">
        <f>D58-C58</f>
        <v>2</v>
      </c>
    </row>
    <row r="59" spans="2:10" ht="18" customHeight="1" x14ac:dyDescent="0.2">
      <c r="B59" s="91" t="s">
        <v>1994</v>
      </c>
      <c r="C59" s="94">
        <f>((C46+(D33+D34+D35+D36)-D39)*C47)</f>
        <v>14</v>
      </c>
      <c r="D59" s="94">
        <f>((C46+(E33+E34+E35+E36)-E39)*C47)</f>
        <v>21</v>
      </c>
      <c r="E59" s="95">
        <f>D59-C59</f>
        <v>7</v>
      </c>
    </row>
    <row r="60" spans="2:10" ht="18" customHeight="1" x14ac:dyDescent="0.2">
      <c r="B60" s="91" t="s">
        <v>1995</v>
      </c>
      <c r="C60" s="96">
        <f>(((C44+D37)*(C45+D38))/((C46+(D33+D34+D35+D36)-D39)+C47))</f>
        <v>6</v>
      </c>
      <c r="D60" s="96">
        <f>(((C44+E37)*(C45+E38))/((C46+(E33+E34+E35+E36)-E39)+C47))</f>
        <v>4.1052631578947372</v>
      </c>
      <c r="E60" s="97">
        <f>D60-C60</f>
        <v>-1.8947368421052628</v>
      </c>
    </row>
    <row r="61" spans="2:10" ht="18" customHeight="1" x14ac:dyDescent="0.2">
      <c r="B61" s="91" t="s">
        <v>1996</v>
      </c>
      <c r="C61" s="96">
        <f>(((C44+D37)*(C45+D38))/((C46+(D33+D34+D35+D36)-D39)*C47))</f>
        <v>3.2142857142857144</v>
      </c>
      <c r="D61" s="96">
        <f>(((C44+E37)*(C45+E38))/((C46+(E33+E34+E35+E36)-E39)*C47))</f>
        <v>1.8571428571428572</v>
      </c>
      <c r="E61" s="97">
        <f>D61-C61</f>
        <v>-1.3571428571428572</v>
      </c>
    </row>
    <row r="62" spans="2:10" ht="18" customHeight="1" x14ac:dyDescent="0.2">
      <c r="B62" s="91" t="s">
        <v>1997</v>
      </c>
      <c r="C62" s="96">
        <f>((((C44+D37)*(C45+D38))/((C46+(D33+D34+D35+D36)-D39)+C47))/(((C44+D37)*(C45+D38))/((C46+(D33+D34+D35+D36)-D39)*C47)))</f>
        <v>1.8666666666666667</v>
      </c>
      <c r="D62" s="96">
        <f>((((C44+E37)*(C45+E38))/((C46+(E33+E34+E35+E36)-E39)+C47))/(((C44+E37)*(C45+E38))/((C46+(E33+E34+E35+E36)-E39)*C47)))</f>
        <v>2.2105263157894739</v>
      </c>
      <c r="E62" s="97">
        <f>D62-C62</f>
        <v>0.3438596491228072</v>
      </c>
    </row>
    <row r="63" spans="2:10" ht="15" customHeight="1" x14ac:dyDescent="0.2">
      <c r="B63" s="91" t="s">
        <v>873</v>
      </c>
      <c r="C63" s="98" t="str">
        <f>IF(C62&lt;2,"GREEN",IF(C62&lt;5,"AMBER","RED"))</f>
        <v>GREEN</v>
      </c>
      <c r="D63" s="99" t="str">
        <f>IF(D62&lt;2,"GREEN",IF(D62&lt;5,"AMBER","RED"))</f>
        <v>AMBER</v>
      </c>
      <c r="E63" s="468" t="s">
        <v>1998</v>
      </c>
      <c r="F63" s="416"/>
      <c r="G63" s="416"/>
      <c r="H63" s="416"/>
      <c r="I63" s="416"/>
      <c r="J63" s="416"/>
    </row>
    <row r="65" spans="2:9" ht="24" customHeight="1" x14ac:dyDescent="0.2">
      <c r="B65" s="475" t="s">
        <v>1999</v>
      </c>
      <c r="C65" s="416"/>
      <c r="D65" s="416"/>
      <c r="E65" s="416"/>
      <c r="F65" s="416"/>
      <c r="G65" s="416"/>
      <c r="H65" s="416"/>
      <c r="I65" s="416"/>
    </row>
    <row r="66" spans="2:9" ht="33.75" customHeight="1" x14ac:dyDescent="0.2">
      <c r="B66" s="468" t="s">
        <v>2000</v>
      </c>
      <c r="C66" s="416"/>
      <c r="D66" s="416"/>
      <c r="E66" s="416"/>
      <c r="F66" s="416"/>
      <c r="G66" s="416"/>
      <c r="H66" s="416"/>
      <c r="I66" s="416"/>
    </row>
    <row r="67" spans="2:9" ht="33.75" customHeight="1" x14ac:dyDescent="0.2">
      <c r="B67" s="468" t="s">
        <v>2001</v>
      </c>
      <c r="C67" s="416"/>
      <c r="D67" s="416"/>
      <c r="E67" s="416"/>
      <c r="F67" s="416"/>
      <c r="G67" s="416"/>
      <c r="H67" s="416"/>
      <c r="I67" s="416"/>
    </row>
    <row r="68" spans="2:9" ht="61.5" customHeight="1" x14ac:dyDescent="0.2">
      <c r="B68" s="468" t="s">
        <v>2002</v>
      </c>
      <c r="C68" s="416"/>
      <c r="D68" s="416"/>
      <c r="E68" s="416"/>
      <c r="F68" s="416"/>
      <c r="G68" s="416"/>
      <c r="H68" s="416"/>
      <c r="I68" s="416"/>
    </row>
    <row r="69" spans="2:9" ht="48" customHeight="1" x14ac:dyDescent="0.2">
      <c r="B69" s="468" t="s">
        <v>2003</v>
      </c>
      <c r="C69" s="416"/>
      <c r="D69" s="416"/>
      <c r="E69" s="416"/>
      <c r="F69" s="416"/>
      <c r="G69" s="416"/>
      <c r="H69" s="416"/>
      <c r="I69" s="416"/>
    </row>
    <row r="71" spans="2:9" ht="24" customHeight="1" x14ac:dyDescent="0.2">
      <c r="B71" s="475" t="s">
        <v>2004</v>
      </c>
      <c r="C71" s="416"/>
      <c r="D71" s="416"/>
      <c r="E71" s="416"/>
      <c r="F71" s="416"/>
      <c r="G71" s="416"/>
      <c r="H71" s="416"/>
      <c r="I71" s="416"/>
    </row>
    <row r="72" spans="2:9" ht="15" customHeight="1" x14ac:dyDescent="0.2">
      <c r="B72" s="468" t="s">
        <v>2005</v>
      </c>
      <c r="C72" s="416"/>
      <c r="D72" s="416"/>
      <c r="E72" s="416"/>
      <c r="F72" s="416"/>
      <c r="G72" s="416"/>
      <c r="H72" s="416"/>
      <c r="I72" s="416"/>
    </row>
    <row r="73" spans="2:9" ht="15" customHeight="1" x14ac:dyDescent="0.2">
      <c r="B73" s="468" t="s">
        <v>2006</v>
      </c>
      <c r="C73" s="416"/>
      <c r="D73" s="416"/>
      <c r="E73" s="416"/>
      <c r="F73" s="416"/>
      <c r="G73" s="416"/>
      <c r="H73" s="416"/>
      <c r="I73" s="416"/>
    </row>
    <row r="74" spans="2:9" ht="15" customHeight="1" x14ac:dyDescent="0.2">
      <c r="B74" s="468" t="s">
        <v>2007</v>
      </c>
      <c r="C74" s="416"/>
      <c r="D74" s="416"/>
      <c r="E74" s="416"/>
      <c r="F74" s="416"/>
      <c r="G74" s="416"/>
      <c r="H74" s="416"/>
      <c r="I74" s="416"/>
    </row>
    <row r="75" spans="2:9" ht="15" customHeight="1" x14ac:dyDescent="0.2">
      <c r="B75" s="468" t="s">
        <v>2008</v>
      </c>
      <c r="C75" s="416"/>
      <c r="D75" s="416"/>
      <c r="E75" s="416"/>
      <c r="F75" s="416"/>
      <c r="G75" s="416"/>
      <c r="H75" s="416"/>
      <c r="I75" s="416"/>
    </row>
    <row r="78" spans="2:9" x14ac:dyDescent="0.2">
      <c r="B78" s="257" t="s">
        <v>853</v>
      </c>
    </row>
  </sheetData>
  <mergeCells count="47">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9:J39"/>
    <mergeCell ref="B2:I2"/>
    <mergeCell ref="C23:E23"/>
    <mergeCell ref="B42:I42"/>
    <mergeCell ref="F36:J36"/>
    <mergeCell ref="F33:J33"/>
    <mergeCell ref="F37:J37"/>
    <mergeCell ref="B5:I5"/>
    <mergeCell ref="C26:E26"/>
    <mergeCell ref="C20:E20"/>
    <mergeCell ref="C25:E25"/>
    <mergeCell ref="B3:I3"/>
    <mergeCell ref="B66:I66"/>
    <mergeCell ref="B31:I31"/>
    <mergeCell ref="C21:E21"/>
    <mergeCell ref="B71:I71"/>
    <mergeCell ref="F40:J40"/>
    <mergeCell ref="B18:I18"/>
    <mergeCell ref="F21:J21"/>
    <mergeCell ref="C27:E27"/>
    <mergeCell ref="F24:J24"/>
    <mergeCell ref="F20:J20"/>
    <mergeCell ref="B67:I67"/>
    <mergeCell ref="B51:I51"/>
    <mergeCell ref="E63:J63"/>
    <mergeCell ref="B75:I75"/>
    <mergeCell ref="F34:J34"/>
    <mergeCell ref="B16:I16"/>
    <mergeCell ref="C22:E22"/>
    <mergeCell ref="B72:I72"/>
    <mergeCell ref="F25:J25"/>
    <mergeCell ref="B74:I7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396" customWidth="1"/>
    <col min="2" max="3" width="22.05859375" style="396" customWidth="1"/>
    <col min="4" max="7" width="29.99609375" style="396" customWidth="1"/>
  </cols>
  <sheetData>
    <row r="1" spans="2:7" ht="30" customHeight="1" x14ac:dyDescent="0.2">
      <c r="B1" s="477" t="s">
        <v>2009</v>
      </c>
      <c r="C1" s="416"/>
      <c r="D1" s="416"/>
      <c r="E1" s="416"/>
      <c r="F1" s="416"/>
    </row>
    <row r="2" spans="2:7" ht="25.5" customHeight="1" x14ac:dyDescent="0.2">
      <c r="B2" s="476" t="s">
        <v>2010</v>
      </c>
      <c r="C2" s="416"/>
      <c r="D2" s="416"/>
      <c r="E2" s="416"/>
      <c r="F2" s="416"/>
    </row>
    <row r="3" spans="2:7" ht="15" customHeight="1" x14ac:dyDescent="0.2">
      <c r="B3" s="474" t="s">
        <v>2011</v>
      </c>
      <c r="C3" s="416"/>
      <c r="D3" s="416"/>
      <c r="E3" s="416"/>
      <c r="F3" s="416"/>
    </row>
    <row r="5" spans="2:7" ht="24" customHeight="1" x14ac:dyDescent="0.2">
      <c r="B5" s="475" t="s">
        <v>2012</v>
      </c>
      <c r="C5" s="416"/>
      <c r="D5" s="416"/>
      <c r="E5" s="416"/>
      <c r="F5" s="416"/>
    </row>
    <row r="6" spans="2:7" ht="45.75" customHeight="1" x14ac:dyDescent="0.2">
      <c r="B6" s="468" t="s">
        <v>2013</v>
      </c>
      <c r="C6" s="416"/>
      <c r="D6" s="416"/>
      <c r="E6" s="416"/>
      <c r="F6" s="416"/>
    </row>
    <row r="8" spans="2:7" ht="24" customHeight="1" x14ac:dyDescent="0.2">
      <c r="B8" s="475" t="s">
        <v>2014</v>
      </c>
      <c r="C8" s="416"/>
      <c r="D8" s="416"/>
      <c r="E8" s="416"/>
      <c r="F8" s="416"/>
    </row>
    <row r="9" spans="2:7" ht="30" customHeight="1" x14ac:dyDescent="0.2">
      <c r="B9" s="74" t="s">
        <v>857</v>
      </c>
      <c r="C9" s="75" t="s">
        <v>2015</v>
      </c>
      <c r="D9" s="75" t="s">
        <v>2016</v>
      </c>
      <c r="E9" s="75" t="s">
        <v>2017</v>
      </c>
      <c r="F9" s="75" t="s">
        <v>2018</v>
      </c>
      <c r="G9" s="76" t="s">
        <v>1984</v>
      </c>
    </row>
    <row r="10" spans="2:7" ht="78" customHeight="1" x14ac:dyDescent="0.2">
      <c r="B10" s="100" t="s">
        <v>2019</v>
      </c>
      <c r="C10" s="101" t="s">
        <v>2020</v>
      </c>
      <c r="D10" s="102" t="s">
        <v>2021</v>
      </c>
      <c r="E10" s="103" t="s">
        <v>2022</v>
      </c>
      <c r="F10" s="102" t="s">
        <v>2023</v>
      </c>
      <c r="G10" s="407" t="s">
        <v>2024</v>
      </c>
    </row>
    <row r="11" spans="2:7" ht="78" customHeight="1" x14ac:dyDescent="0.2">
      <c r="B11" s="104" t="s">
        <v>2025</v>
      </c>
      <c r="C11" s="105" t="s">
        <v>2026</v>
      </c>
      <c r="D11" s="102" t="s">
        <v>2027</v>
      </c>
      <c r="E11" s="103" t="s">
        <v>2028</v>
      </c>
      <c r="F11" s="102" t="s">
        <v>2029</v>
      </c>
      <c r="G11" s="407" t="s">
        <v>2030</v>
      </c>
    </row>
    <row r="12" spans="2:7" ht="78" customHeight="1" x14ac:dyDescent="0.2">
      <c r="B12" s="106" t="s">
        <v>2031</v>
      </c>
      <c r="C12" s="107" t="s">
        <v>2032</v>
      </c>
      <c r="D12" s="102" t="s">
        <v>2033</v>
      </c>
      <c r="E12" s="103" t="s">
        <v>2034</v>
      </c>
      <c r="F12" s="102" t="s">
        <v>2035</v>
      </c>
      <c r="G12" s="407" t="s">
        <v>2036</v>
      </c>
    </row>
    <row r="15" spans="2:7" ht="24" customHeight="1" x14ac:dyDescent="0.2">
      <c r="B15" s="475" t="s">
        <v>2037</v>
      </c>
      <c r="C15" s="416"/>
      <c r="D15" s="416"/>
      <c r="E15" s="416"/>
      <c r="F15" s="416"/>
    </row>
    <row r="16" spans="2:7" ht="30" customHeight="1" x14ac:dyDescent="0.2">
      <c r="B16" s="74" t="s">
        <v>2038</v>
      </c>
      <c r="C16" s="75" t="s">
        <v>2039</v>
      </c>
      <c r="D16" s="75"/>
      <c r="E16" s="75"/>
      <c r="F16" s="75"/>
      <c r="G16" s="76"/>
    </row>
    <row r="17" spans="2:7" ht="63.75" customHeight="1" x14ac:dyDescent="0.2">
      <c r="B17" s="85" t="s">
        <v>2040</v>
      </c>
      <c r="C17" s="472" t="s">
        <v>2041</v>
      </c>
      <c r="D17" s="470"/>
      <c r="E17" s="470"/>
      <c r="F17" s="470"/>
      <c r="G17" s="473"/>
    </row>
    <row r="18" spans="2:7" ht="78" customHeight="1" x14ac:dyDescent="0.2">
      <c r="B18" s="85" t="s">
        <v>2042</v>
      </c>
      <c r="C18" s="472" t="s">
        <v>2043</v>
      </c>
      <c r="D18" s="470"/>
      <c r="E18" s="470"/>
      <c r="F18" s="470"/>
      <c r="G18" s="473"/>
    </row>
    <row r="19" spans="2:7" ht="78" customHeight="1" x14ac:dyDescent="0.2">
      <c r="B19" s="85" t="s">
        <v>2044</v>
      </c>
      <c r="C19" s="472" t="s">
        <v>2045</v>
      </c>
      <c r="D19" s="470"/>
      <c r="E19" s="470"/>
      <c r="F19" s="470"/>
      <c r="G19" s="473"/>
    </row>
    <row r="20" spans="2:7" ht="63.75" customHeight="1" x14ac:dyDescent="0.2">
      <c r="B20" s="85" t="s">
        <v>2046</v>
      </c>
      <c r="C20" s="472" t="s">
        <v>2047</v>
      </c>
      <c r="D20" s="470"/>
      <c r="E20" s="470"/>
      <c r="F20" s="470"/>
      <c r="G20" s="473"/>
    </row>
    <row r="23" spans="2:7" ht="24" customHeight="1" x14ac:dyDescent="0.2">
      <c r="B23" s="475" t="s">
        <v>2048</v>
      </c>
      <c r="C23" s="416"/>
      <c r="D23" s="416"/>
      <c r="E23" s="416"/>
      <c r="F23" s="416"/>
    </row>
    <row r="24" spans="2:7" ht="55.5" customHeight="1" x14ac:dyDescent="0.2">
      <c r="B24" s="468" t="s">
        <v>2049</v>
      </c>
      <c r="C24" s="416"/>
      <c r="D24" s="416"/>
      <c r="E24" s="416"/>
      <c r="F24" s="416"/>
    </row>
    <row r="26" spans="2:7" ht="24" customHeight="1" x14ac:dyDescent="0.2">
      <c r="B26" s="475" t="s">
        <v>2004</v>
      </c>
      <c r="C26" s="416"/>
      <c r="D26" s="416"/>
      <c r="E26" s="416"/>
      <c r="F26" s="416"/>
    </row>
    <row r="27" spans="2:7" ht="15" customHeight="1" x14ac:dyDescent="0.2">
      <c r="B27" s="468" t="s">
        <v>2050</v>
      </c>
      <c r="C27" s="416"/>
      <c r="D27" s="416"/>
      <c r="E27" s="416"/>
      <c r="F27" s="416"/>
    </row>
    <row r="28" spans="2:7" ht="15" customHeight="1" x14ac:dyDescent="0.2">
      <c r="B28" s="468" t="s">
        <v>2051</v>
      </c>
      <c r="C28" s="416"/>
      <c r="D28" s="416"/>
      <c r="E28" s="416"/>
      <c r="F28" s="416"/>
    </row>
    <row r="29" spans="2:7" ht="15" customHeight="1" x14ac:dyDescent="0.2">
      <c r="B29" s="468" t="s">
        <v>2052</v>
      </c>
      <c r="C29" s="416"/>
      <c r="D29" s="416"/>
      <c r="E29" s="416"/>
      <c r="F29" s="416"/>
    </row>
    <row r="32" spans="2:7" x14ac:dyDescent="0.2">
      <c r="B32" s="257" t="s">
        <v>853</v>
      </c>
    </row>
  </sheetData>
  <mergeCells count="17">
    <mergeCell ref="B1:F1"/>
    <mergeCell ref="B8:F8"/>
    <mergeCell ref="B26:F26"/>
    <mergeCell ref="B27:F27"/>
    <mergeCell ref="C17:G17"/>
    <mergeCell ref="B29:F29"/>
    <mergeCell ref="C20:G20"/>
    <mergeCell ref="B6:F6"/>
    <mergeCell ref="B24:F24"/>
    <mergeCell ref="B2:F2"/>
    <mergeCell ref="B15:F15"/>
    <mergeCell ref="C18:G18"/>
    <mergeCell ref="B28:F28"/>
    <mergeCell ref="B3:F3"/>
    <mergeCell ref="B5:F5"/>
    <mergeCell ref="C19:G19"/>
    <mergeCell ref="B23:F23"/>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396" customWidth="1"/>
    <col min="2" max="2" width="18.0234375" style="396" customWidth="1"/>
    <col min="3" max="3" width="20.04296875" style="396" customWidth="1"/>
    <col min="4" max="4" width="16.0078125" style="396" customWidth="1"/>
    <col min="5" max="5" width="13.98828125" style="396" customWidth="1"/>
    <col min="6" max="6" width="39.953125" style="396" customWidth="1"/>
    <col min="7" max="7" width="16.0078125" style="396" customWidth="1"/>
    <col min="8" max="8" width="13.98828125" style="396" customWidth="1"/>
  </cols>
  <sheetData>
    <row r="1" spans="1:8" ht="30" customHeight="1" x14ac:dyDescent="0.2">
      <c r="A1" s="108" t="s">
        <v>2053</v>
      </c>
      <c r="B1" s="52"/>
      <c r="C1" s="52"/>
      <c r="D1" s="52"/>
      <c r="E1" s="52"/>
      <c r="F1" s="52"/>
      <c r="G1" s="52"/>
      <c r="H1" s="52"/>
    </row>
    <row r="2" spans="1:8" ht="30" customHeight="1" x14ac:dyDescent="0.2">
      <c r="A2" s="109" t="s">
        <v>2054</v>
      </c>
      <c r="B2" s="110"/>
      <c r="C2" s="110"/>
      <c r="D2" s="110"/>
      <c r="E2" s="110"/>
      <c r="F2" s="110"/>
      <c r="G2" s="110"/>
      <c r="H2" s="110"/>
    </row>
    <row r="3" spans="1:8" ht="15" customHeight="1" x14ac:dyDescent="0.2">
      <c r="A3" s="482" t="s">
        <v>2055</v>
      </c>
      <c r="B3" s="416"/>
      <c r="C3" s="416"/>
      <c r="D3" s="416"/>
      <c r="E3" s="416"/>
      <c r="F3" s="416"/>
      <c r="G3" s="416"/>
      <c r="H3" s="416"/>
    </row>
    <row r="5" spans="1:8" ht="24" customHeight="1" x14ac:dyDescent="0.2">
      <c r="A5" s="111" t="s">
        <v>2056</v>
      </c>
      <c r="B5" s="52"/>
      <c r="C5" s="52"/>
      <c r="D5" s="52"/>
      <c r="E5" s="52"/>
      <c r="F5" s="52"/>
      <c r="G5" s="52"/>
      <c r="H5" s="52"/>
    </row>
    <row r="6" spans="1:8" ht="30" customHeight="1" x14ac:dyDescent="0.2">
      <c r="A6" s="112" t="s">
        <v>2057</v>
      </c>
      <c r="B6" s="112" t="s">
        <v>1435</v>
      </c>
      <c r="C6" s="112" t="s">
        <v>2058</v>
      </c>
      <c r="D6" s="112" t="s">
        <v>2059</v>
      </c>
      <c r="E6" s="112" t="s">
        <v>2060</v>
      </c>
      <c r="F6" s="112" t="s">
        <v>2061</v>
      </c>
      <c r="G6" s="112" t="s">
        <v>2062</v>
      </c>
      <c r="H6" s="112" t="s">
        <v>2063</v>
      </c>
    </row>
    <row r="7" spans="1:8" ht="26.85" customHeight="1" x14ac:dyDescent="0.2">
      <c r="A7" s="113">
        <v>1</v>
      </c>
      <c r="B7" s="114" t="s">
        <v>2064</v>
      </c>
      <c r="C7" s="115" t="s">
        <v>2065</v>
      </c>
      <c r="D7" s="115" t="s">
        <v>2066</v>
      </c>
      <c r="E7" s="115" t="s">
        <v>2066</v>
      </c>
      <c r="F7" s="115" t="s">
        <v>2067</v>
      </c>
      <c r="G7" s="115" t="s">
        <v>2068</v>
      </c>
      <c r="H7" s="115">
        <v>50</v>
      </c>
    </row>
    <row r="8" spans="1:8" ht="26.85" customHeight="1" x14ac:dyDescent="0.2">
      <c r="A8" s="116">
        <v>2</v>
      </c>
      <c r="B8" s="117" t="s">
        <v>2069</v>
      </c>
      <c r="C8" s="118" t="s">
        <v>2070</v>
      </c>
      <c r="D8" s="118" t="s">
        <v>2066</v>
      </c>
      <c r="E8" s="118" t="s">
        <v>1707</v>
      </c>
      <c r="F8" s="118" t="s">
        <v>2071</v>
      </c>
      <c r="G8" s="118" t="s">
        <v>2068</v>
      </c>
      <c r="H8" s="118">
        <v>75</v>
      </c>
    </row>
    <row r="9" spans="1:8" ht="26.85" customHeight="1" x14ac:dyDescent="0.2">
      <c r="A9" s="113">
        <v>3</v>
      </c>
      <c r="B9" s="114" t="s">
        <v>2072</v>
      </c>
      <c r="C9" s="115" t="s">
        <v>2073</v>
      </c>
      <c r="D9" s="115" t="s">
        <v>467</v>
      </c>
      <c r="E9" s="115" t="s">
        <v>2074</v>
      </c>
      <c r="F9" s="115" t="s">
        <v>2075</v>
      </c>
      <c r="G9" s="115" t="s">
        <v>2076</v>
      </c>
      <c r="H9" s="115">
        <v>100</v>
      </c>
    </row>
    <row r="10" spans="1:8" ht="26.85" customHeight="1" x14ac:dyDescent="0.2">
      <c r="A10" s="116">
        <v>4</v>
      </c>
      <c r="B10" s="117" t="s">
        <v>2077</v>
      </c>
      <c r="C10" s="118" t="s">
        <v>2078</v>
      </c>
      <c r="D10" s="118" t="s">
        <v>2079</v>
      </c>
      <c r="E10" s="118" t="s">
        <v>1712</v>
      </c>
      <c r="F10" s="118" t="s">
        <v>2080</v>
      </c>
      <c r="G10" s="118" t="s">
        <v>2076</v>
      </c>
      <c r="H10" s="118">
        <v>150</v>
      </c>
    </row>
    <row r="11" spans="1:8" ht="26.85" customHeight="1" x14ac:dyDescent="0.2">
      <c r="A11" s="113">
        <v>5</v>
      </c>
      <c r="B11" s="114" t="s">
        <v>2081</v>
      </c>
      <c r="C11" s="115" t="s">
        <v>2082</v>
      </c>
      <c r="D11" s="115" t="s">
        <v>2079</v>
      </c>
      <c r="E11" s="115" t="s">
        <v>2083</v>
      </c>
      <c r="F11" s="115" t="s">
        <v>2084</v>
      </c>
      <c r="G11" s="115" t="s">
        <v>2085</v>
      </c>
      <c r="H11" s="115">
        <v>200</v>
      </c>
    </row>
    <row r="12" spans="1:8" ht="26.85" customHeight="1" x14ac:dyDescent="0.2">
      <c r="A12" s="116">
        <v>6</v>
      </c>
      <c r="B12" s="117" t="s">
        <v>2086</v>
      </c>
      <c r="C12" s="118" t="s">
        <v>2087</v>
      </c>
      <c r="D12" s="118" t="s">
        <v>2088</v>
      </c>
      <c r="E12" s="118" t="s">
        <v>2089</v>
      </c>
      <c r="F12" s="118" t="s">
        <v>2090</v>
      </c>
      <c r="G12" s="118" t="s">
        <v>2085</v>
      </c>
      <c r="H12" s="118">
        <v>350</v>
      </c>
    </row>
    <row r="13" spans="1:8" ht="26.85" customHeight="1" x14ac:dyDescent="0.2">
      <c r="A13" s="113">
        <v>7</v>
      </c>
      <c r="B13" s="114" t="s">
        <v>2091</v>
      </c>
      <c r="C13" s="115" t="s">
        <v>2092</v>
      </c>
      <c r="D13" s="115" t="s">
        <v>2093</v>
      </c>
      <c r="E13" s="115" t="s">
        <v>2093</v>
      </c>
      <c r="F13" s="115" t="s">
        <v>2094</v>
      </c>
      <c r="G13" s="115" t="s">
        <v>2095</v>
      </c>
      <c r="H13" s="115">
        <v>500</v>
      </c>
    </row>
    <row r="14" spans="1:8" ht="39.6" customHeight="1" x14ac:dyDescent="0.2">
      <c r="A14" s="116">
        <v>8</v>
      </c>
      <c r="B14" s="117" t="s">
        <v>2096</v>
      </c>
      <c r="C14" s="118" t="s">
        <v>2097</v>
      </c>
      <c r="D14" s="118" t="s">
        <v>2093</v>
      </c>
      <c r="E14" s="118" t="s">
        <v>2093</v>
      </c>
      <c r="F14" s="118" t="s">
        <v>2098</v>
      </c>
      <c r="G14" s="118" t="s">
        <v>2099</v>
      </c>
      <c r="H14" s="118">
        <v>1000</v>
      </c>
    </row>
    <row r="15" spans="1:8" ht="12.75" customHeight="1" x14ac:dyDescent="0.2">
      <c r="A15" s="480" t="s">
        <v>2100</v>
      </c>
      <c r="B15" s="416"/>
      <c r="C15" s="416"/>
      <c r="D15" s="416"/>
      <c r="E15" s="416"/>
      <c r="F15" s="416"/>
      <c r="G15" s="416"/>
      <c r="H15" s="416"/>
    </row>
    <row r="17" spans="1:8" ht="24" customHeight="1" x14ac:dyDescent="0.2">
      <c r="A17" s="111" t="s">
        <v>2101</v>
      </c>
      <c r="B17" s="52"/>
      <c r="C17" s="52"/>
      <c r="D17" s="52"/>
      <c r="E17" s="52"/>
      <c r="F17" s="52"/>
      <c r="G17" s="52"/>
      <c r="H17" s="52"/>
    </row>
    <row r="18" spans="1:8" ht="30" customHeight="1" x14ac:dyDescent="0.2">
      <c r="A18" s="112" t="s">
        <v>2057</v>
      </c>
      <c r="B18" s="112" t="s">
        <v>2102</v>
      </c>
      <c r="C18" s="112" t="s">
        <v>2103</v>
      </c>
      <c r="D18" s="112" t="s">
        <v>2104</v>
      </c>
      <c r="E18" s="112" t="s">
        <v>2105</v>
      </c>
      <c r="F18" s="112" t="s">
        <v>2106</v>
      </c>
      <c r="G18" s="112" t="s">
        <v>2107</v>
      </c>
      <c r="H18" s="112" t="s">
        <v>2108</v>
      </c>
    </row>
    <row r="19" spans="1:8" ht="15" customHeight="1" x14ac:dyDescent="0.2">
      <c r="A19" s="113">
        <v>1</v>
      </c>
      <c r="B19" s="115">
        <v>1</v>
      </c>
      <c r="C19" s="115">
        <v>0</v>
      </c>
      <c r="D19" s="115">
        <v>0</v>
      </c>
      <c r="E19" s="115">
        <v>0</v>
      </c>
      <c r="F19" s="115">
        <v>0</v>
      </c>
      <c r="G19" s="119">
        <f>SUM(B19:F19)</f>
        <v>1</v>
      </c>
      <c r="H19" s="120">
        <f>G19/5</f>
        <v>0.2</v>
      </c>
    </row>
    <row r="20" spans="1:8" ht="15" customHeight="1" x14ac:dyDescent="0.2">
      <c r="A20" s="116">
        <v>2</v>
      </c>
      <c r="B20" s="118">
        <v>1</v>
      </c>
      <c r="C20" s="118">
        <v>0</v>
      </c>
      <c r="D20" s="118">
        <v>0.5</v>
      </c>
      <c r="E20" s="118">
        <v>0</v>
      </c>
      <c r="F20" s="118">
        <v>0</v>
      </c>
      <c r="G20" s="121">
        <f>SUM(B20:F20)</f>
        <v>1.5</v>
      </c>
      <c r="H20" s="122">
        <f>G20/5</f>
        <v>0.3</v>
      </c>
    </row>
    <row r="21" spans="1:8" ht="15" customHeight="1" x14ac:dyDescent="0.2">
      <c r="A21" s="113">
        <v>3</v>
      </c>
      <c r="B21" s="115">
        <v>1</v>
      </c>
      <c r="C21" s="115">
        <v>0.5</v>
      </c>
      <c r="D21" s="115">
        <v>1</v>
      </c>
      <c r="E21" s="115">
        <v>0</v>
      </c>
      <c r="F21" s="115">
        <v>0</v>
      </c>
      <c r="G21" s="119">
        <f>SUM(B21:F21)</f>
        <v>2.5</v>
      </c>
      <c r="H21" s="120">
        <f>G21/5</f>
        <v>0.5</v>
      </c>
    </row>
    <row r="22" spans="1:8" ht="15" customHeight="1" x14ac:dyDescent="0.2">
      <c r="A22" s="116">
        <v>4</v>
      </c>
      <c r="B22" s="118">
        <v>1</v>
      </c>
      <c r="C22" s="118">
        <v>0.5</v>
      </c>
      <c r="D22" s="118">
        <v>1</v>
      </c>
      <c r="E22" s="118">
        <v>1</v>
      </c>
      <c r="F22" s="118">
        <v>0</v>
      </c>
      <c r="G22" s="121">
        <f>SUM(B22:F22)</f>
        <v>3.5</v>
      </c>
      <c r="H22" s="122">
        <f>G22/5</f>
        <v>0.7</v>
      </c>
    </row>
    <row r="23" spans="1:8" ht="15" customHeight="1" x14ac:dyDescent="0.2">
      <c r="A23" s="113">
        <v>5</v>
      </c>
      <c r="B23" s="115">
        <v>1</v>
      </c>
      <c r="C23" s="115">
        <v>1</v>
      </c>
      <c r="D23" s="115">
        <v>1</v>
      </c>
      <c r="E23" s="115">
        <v>1</v>
      </c>
      <c r="F23" s="115">
        <v>0</v>
      </c>
      <c r="G23" s="119">
        <f>SUM(B23:F23)</f>
        <v>4</v>
      </c>
      <c r="H23" s="120">
        <f>G23/5</f>
        <v>0.8</v>
      </c>
    </row>
    <row r="24" spans="1:8" ht="15" customHeight="1" x14ac:dyDescent="0.2">
      <c r="A24" s="116">
        <v>6</v>
      </c>
      <c r="B24" s="118">
        <v>1</v>
      </c>
      <c r="C24" s="118">
        <v>1</v>
      </c>
      <c r="D24" s="118">
        <v>1</v>
      </c>
      <c r="E24" s="118">
        <v>1</v>
      </c>
      <c r="F24" s="118">
        <v>0.5</v>
      </c>
      <c r="G24" s="121">
        <f>SUM(B24:F24)</f>
        <v>4.5</v>
      </c>
      <c r="H24" s="122">
        <f>G24/5</f>
        <v>0.9</v>
      </c>
    </row>
    <row r="25" spans="1:8" ht="15" customHeight="1" x14ac:dyDescent="0.2">
      <c r="A25" s="113">
        <v>7</v>
      </c>
      <c r="B25" s="115">
        <v>1</v>
      </c>
      <c r="C25" s="115">
        <v>1</v>
      </c>
      <c r="D25" s="115">
        <v>1</v>
      </c>
      <c r="E25" s="115">
        <v>1</v>
      </c>
      <c r="F25" s="115">
        <v>1</v>
      </c>
      <c r="G25" s="119">
        <f>SUM(B25:F25)</f>
        <v>5</v>
      </c>
      <c r="H25" s="120">
        <f>G25/5</f>
        <v>1</v>
      </c>
    </row>
    <row r="26" spans="1:8" ht="15" customHeight="1" x14ac:dyDescent="0.2">
      <c r="A26" s="116">
        <v>8</v>
      </c>
      <c r="B26" s="118">
        <v>1</v>
      </c>
      <c r="C26" s="118">
        <v>1</v>
      </c>
      <c r="D26" s="118">
        <v>1</v>
      </c>
      <c r="E26" s="118">
        <v>1</v>
      </c>
      <c r="F26" s="118">
        <v>1</v>
      </c>
      <c r="G26" s="121">
        <f>SUM(B26:F26)</f>
        <v>5</v>
      </c>
      <c r="H26" s="122">
        <f>G26/5</f>
        <v>1</v>
      </c>
    </row>
    <row r="27" spans="1:8" ht="12.75" customHeight="1" x14ac:dyDescent="0.2">
      <c r="A27" s="480" t="s">
        <v>2109</v>
      </c>
      <c r="B27" s="416"/>
      <c r="C27" s="416"/>
      <c r="D27" s="416"/>
      <c r="E27" s="416"/>
      <c r="F27" s="416"/>
      <c r="G27" s="416"/>
      <c r="H27" s="416"/>
    </row>
    <row r="29" spans="1:8" ht="24" customHeight="1" x14ac:dyDescent="0.2">
      <c r="A29" s="111" t="s">
        <v>2110</v>
      </c>
      <c r="B29" s="52"/>
      <c r="C29" s="52"/>
      <c r="D29" s="52"/>
      <c r="E29" s="52"/>
      <c r="F29" s="52"/>
      <c r="G29" s="52"/>
      <c r="H29" s="52"/>
    </row>
    <row r="30" spans="1:8" ht="15" customHeight="1" x14ac:dyDescent="0.2">
      <c r="A30" s="479" t="s">
        <v>2111</v>
      </c>
      <c r="B30" s="416"/>
      <c r="C30" s="416"/>
      <c r="D30" s="416"/>
      <c r="E30" s="416"/>
      <c r="F30" s="416"/>
      <c r="G30" s="416"/>
      <c r="H30" s="416"/>
    </row>
    <row r="31" spans="1:8" ht="30" customHeight="1" x14ac:dyDescent="0.2">
      <c r="A31" s="112" t="s">
        <v>2112</v>
      </c>
      <c r="B31" s="112" t="s">
        <v>2113</v>
      </c>
      <c r="C31" s="112" t="s">
        <v>2114</v>
      </c>
      <c r="D31" s="112" t="s">
        <v>2115</v>
      </c>
      <c r="E31" s="112" t="s">
        <v>2116</v>
      </c>
      <c r="F31" s="112" t="s">
        <v>1935</v>
      </c>
      <c r="G31" s="112"/>
      <c r="H31" s="112"/>
    </row>
    <row r="32" spans="1:8" ht="15" customHeight="1" x14ac:dyDescent="0.2">
      <c r="A32" s="114">
        <v>1</v>
      </c>
      <c r="B32" s="123">
        <f>LN(A32)</f>
        <v>0</v>
      </c>
      <c r="C32" s="120">
        <f>1+B32</f>
        <v>1</v>
      </c>
      <c r="D32" s="120" t="s">
        <v>371</v>
      </c>
      <c r="E32" s="124" t="s">
        <v>371</v>
      </c>
      <c r="F32" s="115" t="s">
        <v>2117</v>
      </c>
      <c r="G32" s="115"/>
      <c r="H32" s="115"/>
    </row>
    <row r="33" spans="1:8" ht="15" customHeight="1" x14ac:dyDescent="0.2">
      <c r="A33" s="117">
        <v>2</v>
      </c>
      <c r="B33" s="125">
        <f>LN(A33)</f>
        <v>0.69314718055994529</v>
      </c>
      <c r="C33" s="122">
        <f>1+B33</f>
        <v>1.6931471805599454</v>
      </c>
      <c r="D33" s="122">
        <f>C33-C32</f>
        <v>0.6931471805599454</v>
      </c>
      <c r="E33" s="126">
        <f>(C33-C32)/C32</f>
        <v>0.6931471805599454</v>
      </c>
      <c r="F33" s="118" t="s">
        <v>2118</v>
      </c>
      <c r="G33" s="118"/>
      <c r="H33" s="118"/>
    </row>
    <row r="34" spans="1:8" ht="15" customHeight="1" x14ac:dyDescent="0.2">
      <c r="A34" s="114">
        <v>3</v>
      </c>
      <c r="B34" s="123">
        <f>LN(A34)</f>
        <v>1.0986122886681098</v>
      </c>
      <c r="C34" s="120">
        <f>1+B34</f>
        <v>2.09861228866811</v>
      </c>
      <c r="D34" s="120">
        <f>C34-C33</f>
        <v>0.40546510810816461</v>
      </c>
      <c r="E34" s="124">
        <f>(C34-C33)/C33</f>
        <v>0.23947422454678283</v>
      </c>
      <c r="F34" s="115" t="s">
        <v>2119</v>
      </c>
      <c r="G34" s="115"/>
      <c r="H34" s="115"/>
    </row>
    <row r="35" spans="1:8" ht="15" customHeight="1" x14ac:dyDescent="0.2">
      <c r="A35" s="117">
        <v>4</v>
      </c>
      <c r="B35" s="125">
        <f>LN(A35)</f>
        <v>1.3862943611198906</v>
      </c>
      <c r="C35" s="122">
        <f>1+B35</f>
        <v>2.3862943611198908</v>
      </c>
      <c r="D35" s="122">
        <f>C35-C34</f>
        <v>0.28768207245178079</v>
      </c>
      <c r="E35" s="126">
        <f>(C35-C34)/C34</f>
        <v>0.1370820489354701</v>
      </c>
      <c r="F35" s="118" t="s">
        <v>2120</v>
      </c>
      <c r="G35" s="118"/>
      <c r="H35" s="118"/>
    </row>
    <row r="36" spans="1:8" ht="15" customHeight="1" x14ac:dyDescent="0.2">
      <c r="A36" s="114">
        <v>5</v>
      </c>
      <c r="B36" s="123">
        <f>LN(A36)</f>
        <v>1.6094379124341003</v>
      </c>
      <c r="C36" s="120">
        <f>1+B36</f>
        <v>2.6094379124341005</v>
      </c>
      <c r="D36" s="120">
        <f>C36-C35</f>
        <v>0.22314355131420971</v>
      </c>
      <c r="E36" s="124">
        <f>(C36-C35)/C35</f>
        <v>9.3510488458552185E-2</v>
      </c>
      <c r="F36" s="115" t="s">
        <v>2121</v>
      </c>
      <c r="G36" s="115"/>
      <c r="H36" s="115"/>
    </row>
    <row r="37" spans="1:8" ht="15" customHeight="1" x14ac:dyDescent="0.2">
      <c r="A37" s="117">
        <v>6</v>
      </c>
      <c r="B37" s="125">
        <f>LN(A37)</f>
        <v>1.791759469228055</v>
      </c>
      <c r="C37" s="122">
        <f>1+B37</f>
        <v>2.791759469228055</v>
      </c>
      <c r="D37" s="122">
        <f>C37-C36</f>
        <v>0.18232155679395445</v>
      </c>
      <c r="E37" s="126">
        <f>(C37-C36)/C36</f>
        <v>6.9870049762511391E-2</v>
      </c>
      <c r="F37" s="118" t="s">
        <v>2122</v>
      </c>
      <c r="G37" s="118"/>
      <c r="H37" s="118"/>
    </row>
    <row r="38" spans="1:8" ht="15" customHeight="1" x14ac:dyDescent="0.2">
      <c r="A38" s="114">
        <v>7</v>
      </c>
      <c r="B38" s="123">
        <f>LN(A38)</f>
        <v>1.9459101490553132</v>
      </c>
      <c r="C38" s="120">
        <f>1+B38</f>
        <v>2.9459101490553135</v>
      </c>
      <c r="D38" s="120">
        <f>C38-C37</f>
        <v>0.1541506798272585</v>
      </c>
      <c r="E38" s="124">
        <f>(C38-C37)/C37</f>
        <v>5.52163184279921E-2</v>
      </c>
      <c r="F38" s="115" t="s">
        <v>2123</v>
      </c>
      <c r="G38" s="115"/>
      <c r="H38" s="115"/>
    </row>
    <row r="39" spans="1:8" ht="15" customHeight="1" x14ac:dyDescent="0.2">
      <c r="A39" s="117">
        <v>8</v>
      </c>
      <c r="B39" s="125">
        <f>LN(A39)</f>
        <v>2.0794415416798357</v>
      </c>
      <c r="C39" s="122">
        <f>1+B39</f>
        <v>3.0794415416798357</v>
      </c>
      <c r="D39" s="122">
        <f>C39-C38</f>
        <v>0.13353139262452229</v>
      </c>
      <c r="E39" s="126">
        <f>(C39-C38)/C38</f>
        <v>4.5327720761389405E-2</v>
      </c>
      <c r="F39" s="118" t="s">
        <v>2124</v>
      </c>
      <c r="G39" s="118"/>
      <c r="H39" s="118"/>
    </row>
    <row r="40" spans="1:8" ht="12.75" customHeight="1" x14ac:dyDescent="0.2">
      <c r="A40" s="480" t="s">
        <v>2125</v>
      </c>
      <c r="B40" s="416"/>
      <c r="C40" s="416"/>
      <c r="D40" s="416"/>
      <c r="E40" s="416"/>
      <c r="F40" s="416"/>
      <c r="G40" s="416"/>
      <c r="H40" s="416"/>
    </row>
    <row r="42" spans="1:8" ht="24" customHeight="1" x14ac:dyDescent="0.2">
      <c r="A42" s="111" t="s">
        <v>2126</v>
      </c>
      <c r="B42" s="52"/>
      <c r="C42" s="52"/>
      <c r="D42" s="52"/>
      <c r="E42" s="52"/>
      <c r="F42" s="52"/>
      <c r="G42" s="52"/>
      <c r="H42" s="52"/>
    </row>
    <row r="43" spans="1:8" ht="15" customHeight="1" x14ac:dyDescent="0.2">
      <c r="A43" s="479" t="s">
        <v>2127</v>
      </c>
      <c r="B43" s="416"/>
      <c r="C43" s="416"/>
      <c r="D43" s="416"/>
      <c r="E43" s="416"/>
      <c r="F43" s="416"/>
      <c r="G43" s="416"/>
      <c r="H43" s="416"/>
    </row>
    <row r="44" spans="1:8" ht="30" customHeight="1" x14ac:dyDescent="0.2">
      <c r="A44" s="112" t="s">
        <v>856</v>
      </c>
      <c r="B44" s="112" t="s">
        <v>2128</v>
      </c>
      <c r="C44" s="112" t="s">
        <v>2129</v>
      </c>
      <c r="D44" s="112" t="s">
        <v>2130</v>
      </c>
      <c r="E44" s="112" t="s">
        <v>2131</v>
      </c>
      <c r="F44" s="112" t="s">
        <v>2132</v>
      </c>
      <c r="G44" s="112"/>
      <c r="H44" s="112"/>
    </row>
    <row r="45" spans="1:8" ht="26.85" customHeight="1" x14ac:dyDescent="0.2">
      <c r="A45" s="113" t="s">
        <v>939</v>
      </c>
      <c r="B45" s="115">
        <v>1000</v>
      </c>
      <c r="C45" s="115" t="s">
        <v>2133</v>
      </c>
      <c r="D45" s="127">
        <f>LOG10(1000/B45)</f>
        <v>0</v>
      </c>
      <c r="E45" s="127">
        <f>1+0.1*D45</f>
        <v>1</v>
      </c>
      <c r="F45" s="115" t="s">
        <v>2133</v>
      </c>
      <c r="G45" s="115"/>
      <c r="H45" s="115"/>
    </row>
    <row r="46" spans="1:8" ht="26.85" customHeight="1" x14ac:dyDescent="0.2">
      <c r="A46" s="116" t="s">
        <v>899</v>
      </c>
      <c r="B46" s="118">
        <v>1600</v>
      </c>
      <c r="C46" s="118" t="s">
        <v>2134</v>
      </c>
      <c r="D46" s="128">
        <f>LOG10(1000/B46)</f>
        <v>-0.20411998265592479</v>
      </c>
      <c r="E46" s="128">
        <f>1+0.1*D46</f>
        <v>0.97958800173440752</v>
      </c>
      <c r="F46" s="118" t="s">
        <v>2134</v>
      </c>
      <c r="G46" s="118"/>
      <c r="H46" s="118"/>
    </row>
    <row r="47" spans="1:8" ht="26.85" customHeight="1" x14ac:dyDescent="0.2">
      <c r="A47" s="113" t="s">
        <v>917</v>
      </c>
      <c r="B47" s="115">
        <v>1430</v>
      </c>
      <c r="C47" s="115" t="s">
        <v>2135</v>
      </c>
      <c r="D47" s="127">
        <f>LOG10(1000/B47)</f>
        <v>-0.15533603746506183</v>
      </c>
      <c r="E47" s="127">
        <f>1+0.1*D47</f>
        <v>0.98446639625349386</v>
      </c>
      <c r="F47" s="115" t="s">
        <v>2135</v>
      </c>
      <c r="G47" s="115"/>
      <c r="H47" s="115"/>
    </row>
    <row r="48" spans="1:8" ht="26.85" customHeight="1" x14ac:dyDescent="0.2">
      <c r="A48" s="116" t="s">
        <v>1027</v>
      </c>
      <c r="B48" s="118">
        <v>700</v>
      </c>
      <c r="C48" s="118" t="s">
        <v>2136</v>
      </c>
      <c r="D48" s="128">
        <f>LOG10(1000/B48)</f>
        <v>0.15490195998574319</v>
      </c>
      <c r="E48" s="128">
        <f>1+0.1*D48</f>
        <v>1.0154901959985743</v>
      </c>
      <c r="F48" s="118" t="s">
        <v>2136</v>
      </c>
      <c r="G48" s="118"/>
      <c r="H48" s="118"/>
    </row>
    <row r="49" spans="1:8" ht="26.85" customHeight="1" x14ac:dyDescent="0.2">
      <c r="A49" s="113" t="s">
        <v>909</v>
      </c>
      <c r="B49" s="115" t="s">
        <v>2137</v>
      </c>
      <c r="C49" s="115" t="s">
        <v>2138</v>
      </c>
      <c r="D49" s="127" t="s">
        <v>2137</v>
      </c>
      <c r="E49" s="127">
        <v>1.05</v>
      </c>
      <c r="F49" s="115" t="s">
        <v>2138</v>
      </c>
      <c r="G49" s="115"/>
      <c r="H49" s="115"/>
    </row>
    <row r="50" spans="1:8" ht="26.85" customHeight="1" x14ac:dyDescent="0.2">
      <c r="A50" s="116" t="s">
        <v>1014</v>
      </c>
      <c r="B50" s="118" t="s">
        <v>2137</v>
      </c>
      <c r="C50" s="118" t="s">
        <v>2139</v>
      </c>
      <c r="D50" s="128" t="s">
        <v>2137</v>
      </c>
      <c r="E50" s="128">
        <v>1</v>
      </c>
      <c r="F50" s="118" t="s">
        <v>2139</v>
      </c>
      <c r="G50" s="118"/>
      <c r="H50" s="118"/>
    </row>
    <row r="51" spans="1:8" ht="26.85" customHeight="1" x14ac:dyDescent="0.2">
      <c r="A51" s="113" t="s">
        <v>880</v>
      </c>
      <c r="B51" s="115" t="s">
        <v>2137</v>
      </c>
      <c r="C51" s="115" t="s">
        <v>2140</v>
      </c>
      <c r="D51" s="127" t="s">
        <v>2137</v>
      </c>
      <c r="E51" s="127">
        <v>1</v>
      </c>
      <c r="F51" s="115" t="s">
        <v>2140</v>
      </c>
      <c r="G51" s="115"/>
      <c r="H51" s="115"/>
    </row>
    <row r="52" spans="1:8" ht="12.75" customHeight="1" x14ac:dyDescent="0.2">
      <c r="A52" s="480" t="s">
        <v>2141</v>
      </c>
      <c r="B52" s="416"/>
      <c r="C52" s="416"/>
      <c r="D52" s="416"/>
      <c r="E52" s="416"/>
      <c r="F52" s="416"/>
      <c r="G52" s="416"/>
      <c r="H52" s="416"/>
    </row>
    <row r="54" spans="1:8" ht="24" customHeight="1" x14ac:dyDescent="0.2">
      <c r="A54" s="111" t="s">
        <v>2142</v>
      </c>
      <c r="B54" s="52"/>
      <c r="C54" s="52"/>
      <c r="D54" s="52"/>
      <c r="E54" s="52"/>
      <c r="F54" s="52"/>
      <c r="G54" s="52"/>
      <c r="H54" s="52"/>
    </row>
    <row r="55" spans="1:8" ht="30" customHeight="1" x14ac:dyDescent="0.2">
      <c r="A55" s="112" t="s">
        <v>2057</v>
      </c>
      <c r="B55" s="112" t="s">
        <v>2143</v>
      </c>
      <c r="C55" s="112" t="s">
        <v>2144</v>
      </c>
      <c r="D55" s="112" t="s">
        <v>2145</v>
      </c>
      <c r="E55" s="112" t="s">
        <v>2146</v>
      </c>
      <c r="F55" s="112" t="s">
        <v>2147</v>
      </c>
      <c r="G55" s="112"/>
      <c r="H55" s="112"/>
    </row>
    <row r="56" spans="1:8" ht="26.85" customHeight="1" x14ac:dyDescent="0.2">
      <c r="A56" s="113">
        <v>1</v>
      </c>
      <c r="B56" s="115" t="s">
        <v>2068</v>
      </c>
      <c r="C56" s="115">
        <v>50</v>
      </c>
      <c r="D56" s="120">
        <f>1+LN(A56)</f>
        <v>1</v>
      </c>
      <c r="E56" s="115">
        <f>ROUND(C56*D56,0)</f>
        <v>50</v>
      </c>
      <c r="F56" s="115" t="s">
        <v>2148</v>
      </c>
      <c r="G56" s="115"/>
      <c r="H56" s="115"/>
    </row>
    <row r="57" spans="1:8" ht="15" customHeight="1" x14ac:dyDescent="0.2">
      <c r="A57" s="116">
        <v>2</v>
      </c>
      <c r="B57" s="118" t="s">
        <v>2068</v>
      </c>
      <c r="C57" s="118">
        <v>75</v>
      </c>
      <c r="D57" s="122">
        <f>1+LN(A57)</f>
        <v>1.6931471805599454</v>
      </c>
      <c r="E57" s="118">
        <f>ROUND(C57*D57,0)</f>
        <v>127</v>
      </c>
      <c r="F57" s="118" t="s">
        <v>2149</v>
      </c>
      <c r="G57" s="118"/>
      <c r="H57" s="118"/>
    </row>
    <row r="58" spans="1:8" ht="15" customHeight="1" x14ac:dyDescent="0.2">
      <c r="A58" s="113">
        <v>3</v>
      </c>
      <c r="B58" s="115" t="s">
        <v>2076</v>
      </c>
      <c r="C58" s="115">
        <v>100</v>
      </c>
      <c r="D58" s="120">
        <f>1+LN(A58)</f>
        <v>2.09861228866811</v>
      </c>
      <c r="E58" s="115">
        <f>ROUND(C58*D58,0)</f>
        <v>210</v>
      </c>
      <c r="F58" s="115" t="s">
        <v>2150</v>
      </c>
      <c r="G58" s="115"/>
      <c r="H58" s="115"/>
    </row>
    <row r="59" spans="1:8" ht="15" customHeight="1" x14ac:dyDescent="0.2">
      <c r="A59" s="116">
        <v>4</v>
      </c>
      <c r="B59" s="118" t="s">
        <v>2076</v>
      </c>
      <c r="C59" s="118">
        <v>150</v>
      </c>
      <c r="D59" s="122">
        <f>1+LN(A59)</f>
        <v>2.3862943611198908</v>
      </c>
      <c r="E59" s="118">
        <f>ROUND(C59*D59,0)</f>
        <v>358</v>
      </c>
      <c r="F59" s="118" t="s">
        <v>2151</v>
      </c>
      <c r="G59" s="118"/>
      <c r="H59" s="118"/>
    </row>
    <row r="60" spans="1:8" ht="15" customHeight="1" x14ac:dyDescent="0.2">
      <c r="A60" s="113">
        <v>5</v>
      </c>
      <c r="B60" s="115" t="s">
        <v>2085</v>
      </c>
      <c r="C60" s="115">
        <v>200</v>
      </c>
      <c r="D60" s="120">
        <f>1+LN(A60)</f>
        <v>2.6094379124341005</v>
      </c>
      <c r="E60" s="115">
        <f>ROUND(C60*D60,0)</f>
        <v>522</v>
      </c>
      <c r="F60" s="115" t="s">
        <v>2152</v>
      </c>
      <c r="G60" s="115"/>
      <c r="H60" s="115"/>
    </row>
    <row r="61" spans="1:8" ht="15" customHeight="1" x14ac:dyDescent="0.2">
      <c r="A61" s="116">
        <v>6</v>
      </c>
      <c r="B61" s="118" t="s">
        <v>2085</v>
      </c>
      <c r="C61" s="118">
        <v>350</v>
      </c>
      <c r="D61" s="122">
        <f>1+LN(A61)</f>
        <v>2.791759469228055</v>
      </c>
      <c r="E61" s="118">
        <f>ROUND(C61*D61,0)</f>
        <v>977</v>
      </c>
      <c r="F61" s="118" t="s">
        <v>2153</v>
      </c>
      <c r="G61" s="118"/>
      <c r="H61" s="118"/>
    </row>
    <row r="62" spans="1:8" ht="15" customHeight="1" x14ac:dyDescent="0.2">
      <c r="A62" s="113">
        <v>7</v>
      </c>
      <c r="B62" s="115" t="s">
        <v>2095</v>
      </c>
      <c r="C62" s="115">
        <v>500</v>
      </c>
      <c r="D62" s="120">
        <f>1+LN(A62)</f>
        <v>2.9459101490553135</v>
      </c>
      <c r="E62" s="115">
        <f>ROUND(C62*D62,0)</f>
        <v>1473</v>
      </c>
      <c r="F62" s="115" t="s">
        <v>2154</v>
      </c>
      <c r="G62" s="115"/>
      <c r="H62" s="115"/>
    </row>
    <row r="63" spans="1:8" ht="26.85" customHeight="1" x14ac:dyDescent="0.2">
      <c r="A63" s="116">
        <v>8</v>
      </c>
      <c r="B63" s="118" t="s">
        <v>2099</v>
      </c>
      <c r="C63" s="118">
        <v>1000</v>
      </c>
      <c r="D63" s="122">
        <f>1+LN(A63)</f>
        <v>3.0794415416798357</v>
      </c>
      <c r="E63" s="118">
        <f>ROUND(C63*D63,0)</f>
        <v>3079</v>
      </c>
      <c r="F63" s="118" t="s">
        <v>2155</v>
      </c>
      <c r="G63" s="118"/>
      <c r="H63" s="118"/>
    </row>
    <row r="64" spans="1:8" ht="12.75" customHeight="1" x14ac:dyDescent="0.2">
      <c r="A64" s="480" t="s">
        <v>2156</v>
      </c>
      <c r="B64" s="416"/>
      <c r="C64" s="416"/>
      <c r="D64" s="416"/>
      <c r="E64" s="416"/>
      <c r="F64" s="416"/>
      <c r="G64" s="416"/>
      <c r="H64" s="416"/>
    </row>
    <row r="66" spans="1:8" ht="24" customHeight="1" x14ac:dyDescent="0.2">
      <c r="A66" s="111" t="s">
        <v>2157</v>
      </c>
      <c r="B66" s="52"/>
      <c r="C66" s="52"/>
      <c r="D66" s="52"/>
      <c r="E66" s="52"/>
      <c r="F66" s="52"/>
      <c r="G66" s="52"/>
      <c r="H66" s="52"/>
    </row>
    <row r="67" spans="1:8" ht="30" customHeight="1" x14ac:dyDescent="0.2">
      <c r="A67" s="112" t="s">
        <v>2158</v>
      </c>
      <c r="B67" s="112" t="s">
        <v>2159</v>
      </c>
      <c r="C67" s="112" t="s">
        <v>2160</v>
      </c>
      <c r="D67" s="112" t="s">
        <v>2161</v>
      </c>
      <c r="E67" s="112"/>
      <c r="F67" s="112" t="s">
        <v>2162</v>
      </c>
      <c r="G67" s="112"/>
      <c r="H67" s="112"/>
    </row>
    <row r="68" spans="1:8" ht="15" customHeight="1" x14ac:dyDescent="0.2">
      <c r="A68" s="114" t="s">
        <v>2163</v>
      </c>
      <c r="B68" s="115" t="s">
        <v>2164</v>
      </c>
      <c r="C68" s="115" t="s">
        <v>2165</v>
      </c>
      <c r="D68" s="115" t="s">
        <v>2166</v>
      </c>
      <c r="E68" s="115"/>
      <c r="F68" s="115" t="s">
        <v>2167</v>
      </c>
      <c r="G68" s="115"/>
      <c r="H68" s="115"/>
    </row>
    <row r="69" spans="1:8" ht="15" customHeight="1" x14ac:dyDescent="0.2">
      <c r="A69" s="114" t="s">
        <v>2168</v>
      </c>
      <c r="B69" s="120">
        <v>0.3</v>
      </c>
      <c r="C69" s="120">
        <v>0.7</v>
      </c>
      <c r="D69" s="120">
        <v>0.95</v>
      </c>
      <c r="E69" s="115"/>
      <c r="F69" s="115" t="s">
        <v>2169</v>
      </c>
      <c r="G69" s="115"/>
      <c r="H69" s="115"/>
    </row>
    <row r="70" spans="1:8" ht="15" customHeight="1" x14ac:dyDescent="0.2">
      <c r="A70" s="114" t="s">
        <v>2170</v>
      </c>
      <c r="B70" s="120">
        <v>0.4</v>
      </c>
      <c r="C70" s="120">
        <v>0.7</v>
      </c>
      <c r="D70" s="120">
        <v>0.85</v>
      </c>
      <c r="E70" s="115"/>
      <c r="F70" s="115" t="s">
        <v>2171</v>
      </c>
      <c r="G70" s="115"/>
      <c r="H70" s="115"/>
    </row>
    <row r="71" spans="1:8" ht="15" customHeight="1" x14ac:dyDescent="0.2">
      <c r="A71" s="114" t="s">
        <v>1525</v>
      </c>
      <c r="B71" s="120">
        <v>0.5</v>
      </c>
      <c r="C71" s="120">
        <v>0.4</v>
      </c>
      <c r="D71" s="120">
        <v>0.3</v>
      </c>
      <c r="E71" s="115"/>
      <c r="F71" s="115" t="s">
        <v>2172</v>
      </c>
      <c r="G71" s="115"/>
      <c r="H71" s="115"/>
    </row>
    <row r="72" spans="1:8" ht="15" customHeight="1" x14ac:dyDescent="0.2">
      <c r="A72" s="114" t="s">
        <v>2173</v>
      </c>
      <c r="B72" s="127">
        <v>0.24</v>
      </c>
      <c r="C72" s="127">
        <v>1.2250000000000001</v>
      </c>
      <c r="D72" s="127">
        <v>2.6920000000000002</v>
      </c>
      <c r="E72" s="115"/>
      <c r="F72" s="115" t="s">
        <v>2174</v>
      </c>
      <c r="G72" s="115"/>
      <c r="H72" s="115"/>
    </row>
    <row r="73" spans="1:8" ht="15" customHeight="1" x14ac:dyDescent="0.2">
      <c r="A73" s="114" t="s">
        <v>2175</v>
      </c>
      <c r="B73" s="115">
        <v>1</v>
      </c>
      <c r="C73" s="115">
        <v>4</v>
      </c>
      <c r="D73" s="115">
        <v>7</v>
      </c>
      <c r="E73" s="115"/>
      <c r="F73" s="115" t="s">
        <v>2176</v>
      </c>
      <c r="G73" s="115"/>
      <c r="H73" s="115"/>
    </row>
    <row r="74" spans="1:8" ht="15" customHeight="1" x14ac:dyDescent="0.2">
      <c r="A74" s="114" t="s">
        <v>2177</v>
      </c>
      <c r="B74" s="127">
        <v>1</v>
      </c>
      <c r="C74" s="127">
        <v>2.3860000000000001</v>
      </c>
      <c r="D74" s="127">
        <v>2.9460000000000002</v>
      </c>
      <c r="E74" s="115"/>
      <c r="F74" s="115" t="s">
        <v>2178</v>
      </c>
      <c r="G74" s="115"/>
      <c r="H74" s="115"/>
    </row>
    <row r="75" spans="1:8" ht="15" customHeight="1" x14ac:dyDescent="0.2">
      <c r="A75" s="114" t="s">
        <v>2179</v>
      </c>
      <c r="B75" s="127">
        <v>0.24</v>
      </c>
      <c r="C75" s="127">
        <v>2.923</v>
      </c>
      <c r="D75" s="127">
        <v>7.9290000000000003</v>
      </c>
      <c r="E75" s="115"/>
      <c r="F75" s="115" t="s">
        <v>2178</v>
      </c>
      <c r="G75" s="115"/>
      <c r="H75" s="115"/>
    </row>
    <row r="76" spans="1:8" ht="15" customHeight="1" x14ac:dyDescent="0.2">
      <c r="A76" s="114" t="s">
        <v>856</v>
      </c>
      <c r="B76" s="115" t="s">
        <v>939</v>
      </c>
      <c r="C76" s="115" t="s">
        <v>1027</v>
      </c>
      <c r="D76" s="115" t="s">
        <v>880</v>
      </c>
      <c r="E76" s="115"/>
      <c r="F76" s="115" t="s">
        <v>2180</v>
      </c>
      <c r="G76" s="115"/>
      <c r="H76" s="115"/>
    </row>
    <row r="77" spans="1:8" ht="15" customHeight="1" x14ac:dyDescent="0.2">
      <c r="A77" s="114" t="s">
        <v>2181</v>
      </c>
      <c r="B77" s="123">
        <v>1</v>
      </c>
      <c r="C77" s="123">
        <v>1.0155000000000001</v>
      </c>
      <c r="D77" s="123">
        <v>1</v>
      </c>
      <c r="E77" s="115"/>
      <c r="F77" s="115" t="s">
        <v>2182</v>
      </c>
      <c r="G77" s="115"/>
      <c r="H77" s="115"/>
    </row>
    <row r="78" spans="1:8" ht="15" customHeight="1" x14ac:dyDescent="0.2">
      <c r="A78" s="114" t="s">
        <v>2183</v>
      </c>
      <c r="B78" s="127">
        <v>0.24</v>
      </c>
      <c r="C78" s="127">
        <v>2.9689999999999999</v>
      </c>
      <c r="D78" s="127">
        <v>7.9290000000000003</v>
      </c>
      <c r="E78" s="115"/>
      <c r="F78" s="115" t="s">
        <v>2182</v>
      </c>
      <c r="G78" s="115"/>
      <c r="H78" s="115"/>
    </row>
    <row r="79" spans="1:8" ht="15" customHeight="1" x14ac:dyDescent="0.2">
      <c r="A79" s="114" t="s">
        <v>2184</v>
      </c>
      <c r="B79" s="115" t="s">
        <v>2185</v>
      </c>
      <c r="C79" s="115" t="s">
        <v>2186</v>
      </c>
      <c r="D79" s="115" t="s">
        <v>2187</v>
      </c>
      <c r="E79" s="115"/>
      <c r="F79" s="115" t="s">
        <v>2188</v>
      </c>
      <c r="G79" s="115"/>
      <c r="H79" s="115"/>
    </row>
    <row r="80" spans="1:8" ht="26.85" customHeight="1" x14ac:dyDescent="0.2">
      <c r="A80" s="114" t="s">
        <v>2189</v>
      </c>
      <c r="B80" s="127">
        <v>0.08</v>
      </c>
      <c r="C80" s="127">
        <v>0.34100000000000003</v>
      </c>
      <c r="D80" s="127">
        <v>0.442</v>
      </c>
      <c r="E80" s="115"/>
      <c r="F80" s="115" t="s">
        <v>2190</v>
      </c>
      <c r="G80" s="115"/>
      <c r="H80" s="115"/>
    </row>
    <row r="81" spans="1:8" ht="15" customHeight="1" x14ac:dyDescent="0.2">
      <c r="A81" s="114" t="s">
        <v>2191</v>
      </c>
      <c r="B81" s="127">
        <v>1.9E-2</v>
      </c>
      <c r="C81" s="127">
        <v>1</v>
      </c>
      <c r="D81" s="127">
        <v>1</v>
      </c>
      <c r="E81" s="115"/>
      <c r="F81" s="115" t="s">
        <v>2192</v>
      </c>
      <c r="G81" s="115"/>
      <c r="H81" s="115"/>
    </row>
    <row r="82" spans="1:8" ht="15" customHeight="1" x14ac:dyDescent="0.2">
      <c r="A82" s="114" t="s">
        <v>2193</v>
      </c>
      <c r="B82" s="115" t="s">
        <v>388</v>
      </c>
      <c r="C82" s="115" t="s">
        <v>1116</v>
      </c>
      <c r="D82" s="115" t="s">
        <v>1116</v>
      </c>
      <c r="E82" s="115"/>
      <c r="F82" s="115" t="s">
        <v>2194</v>
      </c>
      <c r="G82" s="115"/>
      <c r="H82" s="115"/>
    </row>
    <row r="83" spans="1:8" ht="12.75" customHeight="1" x14ac:dyDescent="0.2">
      <c r="A83" s="480" t="s">
        <v>2195</v>
      </c>
      <c r="B83" s="416"/>
      <c r="C83" s="416"/>
      <c r="D83" s="416"/>
      <c r="E83" s="416"/>
      <c r="F83" s="416"/>
      <c r="G83" s="416"/>
      <c r="H83" s="416"/>
    </row>
    <row r="85" spans="1:8" ht="24" customHeight="1" x14ac:dyDescent="0.2">
      <c r="A85" s="111" t="s">
        <v>2196</v>
      </c>
      <c r="B85" s="52"/>
      <c r="C85" s="52"/>
      <c r="D85" s="52"/>
      <c r="E85" s="52"/>
      <c r="F85" s="52"/>
      <c r="G85" s="52"/>
      <c r="H85" s="52"/>
    </row>
    <row r="86" spans="1:8" ht="39.6" customHeight="1" x14ac:dyDescent="0.2">
      <c r="A86" s="129" t="s">
        <v>2197</v>
      </c>
      <c r="B86" s="481" t="s">
        <v>2198</v>
      </c>
      <c r="C86" s="416"/>
      <c r="D86" s="416"/>
      <c r="E86" s="416"/>
      <c r="F86" s="416"/>
      <c r="G86" s="416"/>
      <c r="H86" s="416"/>
    </row>
    <row r="87" spans="1:8" ht="26.85" customHeight="1" x14ac:dyDescent="0.2">
      <c r="A87" s="129" t="s">
        <v>2199</v>
      </c>
      <c r="B87" s="481" t="s">
        <v>2200</v>
      </c>
      <c r="C87" s="416"/>
      <c r="D87" s="416"/>
      <c r="E87" s="416"/>
      <c r="F87" s="416"/>
      <c r="G87" s="416"/>
      <c r="H87" s="416"/>
    </row>
    <row r="88" spans="1:8" ht="26.85" customHeight="1" x14ac:dyDescent="0.2">
      <c r="A88" s="129" t="s">
        <v>2201</v>
      </c>
      <c r="B88" s="481" t="s">
        <v>2202</v>
      </c>
      <c r="C88" s="416"/>
      <c r="D88" s="416"/>
      <c r="E88" s="416"/>
      <c r="F88" s="416"/>
      <c r="G88" s="416"/>
      <c r="H88" s="416"/>
    </row>
    <row r="89" spans="1:8" ht="26.85" customHeight="1" x14ac:dyDescent="0.2">
      <c r="A89" s="129" t="s">
        <v>2203</v>
      </c>
      <c r="B89" s="481" t="s">
        <v>2204</v>
      </c>
      <c r="C89" s="416"/>
      <c r="D89" s="416"/>
      <c r="E89" s="416"/>
      <c r="F89" s="416"/>
      <c r="G89" s="416"/>
      <c r="H89" s="416"/>
    </row>
    <row r="90" spans="1:8" ht="26.85" customHeight="1" x14ac:dyDescent="0.2">
      <c r="A90" s="129" t="s">
        <v>2205</v>
      </c>
      <c r="B90" s="481" t="s">
        <v>2206</v>
      </c>
      <c r="C90" s="416"/>
      <c r="D90" s="416"/>
      <c r="E90" s="416"/>
      <c r="F90" s="416"/>
      <c r="G90" s="416"/>
      <c r="H90" s="416"/>
    </row>
    <row r="92" spans="1:8" ht="24" customHeight="1" x14ac:dyDescent="0.2">
      <c r="A92" s="111" t="s">
        <v>2207</v>
      </c>
      <c r="B92" s="52"/>
      <c r="C92" s="52"/>
      <c r="D92" s="52"/>
      <c r="E92" s="52"/>
      <c r="F92" s="52"/>
      <c r="G92" s="52"/>
      <c r="H92" s="52"/>
    </row>
    <row r="93" spans="1:8" ht="30" customHeight="1" x14ac:dyDescent="0.2">
      <c r="A93" s="112" t="s">
        <v>2208</v>
      </c>
      <c r="B93" s="112" t="s">
        <v>2209</v>
      </c>
      <c r="C93" s="112" t="s">
        <v>2210</v>
      </c>
      <c r="D93" s="112" t="s">
        <v>2211</v>
      </c>
      <c r="E93" s="112" t="s">
        <v>2143</v>
      </c>
      <c r="F93" s="112"/>
      <c r="G93" s="112"/>
      <c r="H93" s="112"/>
    </row>
    <row r="94" spans="1:8" ht="26.85" customHeight="1" x14ac:dyDescent="0.2">
      <c r="A94" s="113" t="s">
        <v>2212</v>
      </c>
      <c r="B94" s="115">
        <v>60</v>
      </c>
      <c r="C94" s="115" t="s">
        <v>2213</v>
      </c>
      <c r="D94" s="115" t="s">
        <v>371</v>
      </c>
      <c r="E94" s="115" t="s">
        <v>371</v>
      </c>
      <c r="F94" s="115"/>
      <c r="G94" s="115"/>
      <c r="H94" s="115"/>
    </row>
    <row r="95" spans="1:8" ht="26.85" customHeight="1" x14ac:dyDescent="0.2">
      <c r="A95" s="116" t="s">
        <v>2214</v>
      </c>
      <c r="B95" s="118">
        <v>60</v>
      </c>
      <c r="C95" s="118" t="s">
        <v>2215</v>
      </c>
      <c r="D95" s="118" t="s">
        <v>2216</v>
      </c>
      <c r="E95" s="118" t="s">
        <v>2068</v>
      </c>
      <c r="F95" s="118"/>
      <c r="G95" s="118"/>
      <c r="H95" s="118"/>
    </row>
    <row r="96" spans="1:8" ht="15" customHeight="1" x14ac:dyDescent="0.2">
      <c r="A96" s="113" t="s">
        <v>2217</v>
      </c>
      <c r="B96" s="115">
        <v>60</v>
      </c>
      <c r="C96" s="115" t="s">
        <v>2218</v>
      </c>
      <c r="D96" s="115" t="s">
        <v>2219</v>
      </c>
      <c r="E96" s="115" t="s">
        <v>2076</v>
      </c>
      <c r="F96" s="115"/>
      <c r="G96" s="115"/>
      <c r="H96" s="115"/>
    </row>
    <row r="97" spans="1:8" ht="26.85" customHeight="1" x14ac:dyDescent="0.2">
      <c r="A97" s="116" t="s">
        <v>2220</v>
      </c>
      <c r="B97" s="118">
        <v>60</v>
      </c>
      <c r="C97" s="118" t="s">
        <v>2221</v>
      </c>
      <c r="D97" s="118" t="s">
        <v>2222</v>
      </c>
      <c r="E97" s="118" t="s">
        <v>2085</v>
      </c>
      <c r="F97" s="118"/>
      <c r="G97" s="118"/>
      <c r="H97" s="118"/>
    </row>
    <row r="98" spans="1:8" ht="15" customHeight="1" x14ac:dyDescent="0.2">
      <c r="A98" s="113" t="s">
        <v>2223</v>
      </c>
      <c r="B98" s="115">
        <v>60</v>
      </c>
      <c r="C98" s="115" t="s">
        <v>2224</v>
      </c>
      <c r="D98" s="115" t="s">
        <v>2225</v>
      </c>
      <c r="E98" s="115" t="s">
        <v>2095</v>
      </c>
      <c r="F98" s="115"/>
      <c r="G98" s="115"/>
      <c r="H98" s="115"/>
    </row>
    <row r="99" spans="1:8" ht="15" customHeight="1" x14ac:dyDescent="0.2">
      <c r="A99" s="116" t="s">
        <v>2226</v>
      </c>
      <c r="B99" s="118">
        <v>60</v>
      </c>
      <c r="C99" s="118" t="s">
        <v>2227</v>
      </c>
      <c r="D99" s="118" t="s">
        <v>2228</v>
      </c>
      <c r="E99" s="118" t="s">
        <v>2099</v>
      </c>
      <c r="F99" s="118"/>
      <c r="G99" s="118"/>
      <c r="H99" s="118"/>
    </row>
    <row r="100" spans="1:8" ht="19.5" customHeight="1" x14ac:dyDescent="0.2">
      <c r="A100" s="130" t="s">
        <v>2229</v>
      </c>
      <c r="B100" s="131">
        <f>SUM(B95:B99)</f>
        <v>300</v>
      </c>
      <c r="C100" s="132" t="s">
        <v>2230</v>
      </c>
      <c r="D100" s="133"/>
      <c r="E100" s="133"/>
      <c r="F100" s="133"/>
      <c r="G100" s="133"/>
      <c r="H100" s="133"/>
    </row>
    <row r="101" spans="1:8" ht="12.75" customHeight="1" x14ac:dyDescent="0.2">
      <c r="A101" s="480" t="s">
        <v>2231</v>
      </c>
      <c r="B101" s="416"/>
      <c r="C101" s="416"/>
      <c r="D101" s="416"/>
      <c r="E101" s="416"/>
      <c r="F101" s="416"/>
      <c r="G101" s="416"/>
      <c r="H101" s="416"/>
    </row>
    <row r="103" spans="1:8" ht="24" customHeight="1" x14ac:dyDescent="0.2">
      <c r="A103" s="111" t="s">
        <v>2004</v>
      </c>
      <c r="B103" s="52"/>
      <c r="C103" s="52"/>
      <c r="D103" s="52"/>
      <c r="E103" s="52"/>
      <c r="F103" s="52"/>
      <c r="G103" s="52"/>
      <c r="H103" s="52"/>
    </row>
    <row r="104" spans="1:8" ht="12.75" customHeight="1" x14ac:dyDescent="0.2">
      <c r="A104" s="480" t="s">
        <v>2232</v>
      </c>
      <c r="B104" s="416"/>
      <c r="C104" s="416"/>
      <c r="D104" s="416"/>
      <c r="E104" s="416"/>
      <c r="F104" s="416"/>
      <c r="G104" s="416"/>
      <c r="H104" s="416"/>
    </row>
    <row r="105" spans="1:8" ht="12.75" customHeight="1" x14ac:dyDescent="0.2">
      <c r="A105" s="480" t="s">
        <v>2233</v>
      </c>
      <c r="B105" s="416"/>
      <c r="C105" s="416"/>
      <c r="D105" s="416"/>
      <c r="E105" s="416"/>
      <c r="F105" s="416"/>
      <c r="G105" s="416"/>
      <c r="H105" s="416"/>
    </row>
    <row r="106" spans="1:8" ht="12.75" customHeight="1" x14ac:dyDescent="0.2">
      <c r="A106" s="480" t="s">
        <v>2234</v>
      </c>
      <c r="B106" s="416"/>
      <c r="C106" s="416"/>
      <c r="D106" s="416"/>
      <c r="E106" s="416"/>
      <c r="F106" s="416"/>
      <c r="G106" s="416"/>
      <c r="H106" s="416"/>
    </row>
    <row r="107" spans="1:8" ht="12.75" customHeight="1" x14ac:dyDescent="0.2">
      <c r="A107" s="480" t="s">
        <v>2235</v>
      </c>
      <c r="B107" s="416"/>
      <c r="C107" s="416"/>
      <c r="D107" s="416"/>
      <c r="E107" s="416"/>
      <c r="F107" s="416"/>
      <c r="G107" s="416"/>
      <c r="H107" s="416"/>
    </row>
    <row r="108" spans="1:8" ht="12.75" customHeight="1" x14ac:dyDescent="0.2">
      <c r="A108" s="480" t="s">
        <v>2236</v>
      </c>
      <c r="B108" s="416"/>
      <c r="C108" s="416"/>
      <c r="D108" s="416"/>
      <c r="E108" s="416"/>
      <c r="F108" s="416"/>
      <c r="G108" s="416"/>
      <c r="H108" s="416"/>
    </row>
    <row r="109" spans="1:8" ht="12.75" customHeight="1" x14ac:dyDescent="0.2">
      <c r="A109" s="480" t="s">
        <v>2237</v>
      </c>
      <c r="B109" s="416"/>
      <c r="C109" s="416"/>
      <c r="D109" s="416"/>
      <c r="E109" s="416"/>
      <c r="F109" s="416"/>
      <c r="G109" s="416"/>
      <c r="H109" s="416"/>
    </row>
    <row r="110" spans="1:8" ht="12.75" customHeight="1" x14ac:dyDescent="0.2">
      <c r="A110" s="480" t="s">
        <v>2238</v>
      </c>
      <c r="B110" s="416"/>
      <c r="C110" s="416"/>
      <c r="D110" s="416"/>
      <c r="E110" s="416"/>
      <c r="F110" s="416"/>
      <c r="G110" s="416"/>
      <c r="H110" s="416"/>
    </row>
    <row r="111" spans="1:8" ht="12.75" customHeight="1" x14ac:dyDescent="0.2">
      <c r="A111" s="480" t="s">
        <v>2239</v>
      </c>
      <c r="B111" s="416"/>
      <c r="C111" s="416"/>
      <c r="D111" s="416"/>
      <c r="E111" s="416"/>
      <c r="F111" s="416"/>
      <c r="G111" s="416"/>
      <c r="H111" s="416"/>
    </row>
    <row r="112" spans="1:8" ht="12.75" customHeight="1" x14ac:dyDescent="0.2">
      <c r="A112" s="480" t="s">
        <v>2240</v>
      </c>
      <c r="B112" s="416"/>
      <c r="C112" s="416"/>
      <c r="D112" s="416"/>
      <c r="E112" s="416"/>
      <c r="F112" s="416"/>
      <c r="G112" s="416"/>
      <c r="H112" s="416"/>
    </row>
    <row r="113" spans="1:9" ht="12.75" customHeight="1" x14ac:dyDescent="0.2">
      <c r="A113" s="480" t="s">
        <v>2241</v>
      </c>
      <c r="B113" s="416"/>
      <c r="C113" s="416"/>
      <c r="D113" s="416"/>
      <c r="E113" s="416"/>
      <c r="F113" s="416"/>
      <c r="G113" s="416"/>
      <c r="H113" s="416"/>
    </row>
    <row r="115" spans="1:9" ht="24" customHeight="1" x14ac:dyDescent="0.2">
      <c r="B115" s="475" t="s">
        <v>2242</v>
      </c>
      <c r="C115" s="416"/>
      <c r="D115" s="416"/>
      <c r="E115" s="416"/>
      <c r="F115" s="416"/>
      <c r="G115" s="416"/>
      <c r="H115" s="416"/>
    </row>
    <row r="116" spans="1:9" ht="31.5" customHeight="1" x14ac:dyDescent="0.2">
      <c r="B116" s="468" t="s">
        <v>2243</v>
      </c>
      <c r="C116" s="416"/>
      <c r="D116" s="416"/>
      <c r="E116" s="416"/>
      <c r="F116" s="416"/>
      <c r="G116" s="416"/>
      <c r="H116" s="416"/>
    </row>
    <row r="117" spans="1:9" ht="30" customHeight="1" x14ac:dyDescent="0.2">
      <c r="A117" s="134"/>
      <c r="B117" s="75" t="s">
        <v>2244</v>
      </c>
      <c r="C117" s="75" t="s">
        <v>2245</v>
      </c>
      <c r="D117" s="75" t="s">
        <v>2246</v>
      </c>
      <c r="E117" s="75" t="s">
        <v>2247</v>
      </c>
      <c r="F117" s="75" t="s">
        <v>2248</v>
      </c>
      <c r="G117" s="75"/>
      <c r="H117" s="76"/>
      <c r="I117" s="86"/>
    </row>
    <row r="118" spans="1:9" ht="43.5" customHeight="1" x14ac:dyDescent="0.2">
      <c r="A118" s="85" t="s">
        <v>2249</v>
      </c>
      <c r="B118" s="102" t="s">
        <v>2250</v>
      </c>
      <c r="C118" s="102" t="s">
        <v>2251</v>
      </c>
      <c r="D118" s="102" t="s">
        <v>2252</v>
      </c>
      <c r="E118" s="478" t="s">
        <v>2253</v>
      </c>
      <c r="F118" s="470"/>
      <c r="G118" s="470"/>
      <c r="H118" s="473"/>
    </row>
    <row r="119" spans="1:9" ht="43.5" customHeight="1" x14ac:dyDescent="0.2">
      <c r="A119" s="85" t="s">
        <v>2254</v>
      </c>
      <c r="B119" s="102" t="s">
        <v>2255</v>
      </c>
      <c r="C119" s="102" t="s">
        <v>2256</v>
      </c>
      <c r="D119" s="102" t="s">
        <v>2257</v>
      </c>
      <c r="E119" s="478" t="s">
        <v>2258</v>
      </c>
      <c r="F119" s="470"/>
      <c r="G119" s="470"/>
      <c r="H119" s="473"/>
    </row>
    <row r="120" spans="1:9" ht="43.5" customHeight="1" x14ac:dyDescent="0.2">
      <c r="A120" s="85" t="s">
        <v>2259</v>
      </c>
      <c r="B120" s="102" t="s">
        <v>2260</v>
      </c>
      <c r="C120" s="102" t="s">
        <v>2261</v>
      </c>
      <c r="D120" s="102" t="s">
        <v>2262</v>
      </c>
      <c r="E120" s="478" t="s">
        <v>2263</v>
      </c>
      <c r="F120" s="470"/>
      <c r="G120" s="470"/>
      <c r="H120" s="473"/>
    </row>
    <row r="122" spans="1:9" ht="43.5" customHeight="1" x14ac:dyDescent="0.2">
      <c r="B122" s="468" t="s">
        <v>2264</v>
      </c>
      <c r="C122" s="416"/>
      <c r="D122" s="416"/>
      <c r="E122" s="416"/>
      <c r="F122" s="416"/>
      <c r="G122" s="416"/>
      <c r="H122" s="416"/>
    </row>
    <row r="124" spans="1:9" ht="24" customHeight="1" x14ac:dyDescent="0.2">
      <c r="B124" s="475" t="s">
        <v>2265</v>
      </c>
      <c r="C124" s="416"/>
      <c r="D124" s="416"/>
      <c r="E124" s="416"/>
      <c r="F124" s="416"/>
      <c r="G124" s="416"/>
      <c r="H124" s="416"/>
    </row>
    <row r="125" spans="1:9" ht="30" customHeight="1" x14ac:dyDescent="0.2">
      <c r="A125" s="134"/>
      <c r="B125" s="75" t="s">
        <v>854</v>
      </c>
      <c r="C125" s="75" t="s">
        <v>2266</v>
      </c>
      <c r="D125" s="75" t="s">
        <v>2267</v>
      </c>
      <c r="E125" s="75" t="s">
        <v>2268</v>
      </c>
      <c r="F125" s="75" t="s">
        <v>2269</v>
      </c>
      <c r="G125" s="75" t="s">
        <v>2175</v>
      </c>
      <c r="H125" s="76" t="s">
        <v>2177</v>
      </c>
      <c r="I125" s="86" t="s">
        <v>2270</v>
      </c>
    </row>
    <row r="126" spans="1:9" ht="42" customHeight="1" x14ac:dyDescent="0.2">
      <c r="A126" s="135">
        <v>1</v>
      </c>
      <c r="B126" s="102" t="s">
        <v>1641</v>
      </c>
      <c r="C126" s="102" t="s">
        <v>2271</v>
      </c>
      <c r="D126" s="88">
        <v>1</v>
      </c>
      <c r="E126" s="88">
        <v>2</v>
      </c>
      <c r="F126" s="98" t="s">
        <v>2272</v>
      </c>
      <c r="G126" s="96">
        <f>1+LN(6)</f>
        <v>2.791759469228055</v>
      </c>
      <c r="H126" s="407" t="s">
        <v>2273</v>
      </c>
    </row>
    <row r="127" spans="1:9" ht="30" customHeight="1" x14ac:dyDescent="0.2">
      <c r="A127" s="135">
        <v>2</v>
      </c>
      <c r="B127" s="102" t="s">
        <v>1184</v>
      </c>
      <c r="C127" s="102" t="s">
        <v>2274</v>
      </c>
      <c r="D127" s="88">
        <v>1</v>
      </c>
      <c r="E127" s="88">
        <v>2</v>
      </c>
      <c r="F127" s="98" t="s">
        <v>2275</v>
      </c>
      <c r="G127" s="96">
        <f>1+LN(5)</f>
        <v>2.6094379124341005</v>
      </c>
      <c r="H127" s="407" t="s">
        <v>2276</v>
      </c>
    </row>
    <row r="128" spans="1:9" ht="30" customHeight="1" x14ac:dyDescent="0.2">
      <c r="A128" s="135">
        <v>3</v>
      </c>
      <c r="B128" s="102" t="s">
        <v>2277</v>
      </c>
      <c r="C128" s="102" t="s">
        <v>2278</v>
      </c>
      <c r="D128" s="88">
        <v>1</v>
      </c>
      <c r="E128" s="88">
        <v>2</v>
      </c>
      <c r="F128" s="98" t="s">
        <v>2275</v>
      </c>
      <c r="G128" s="96">
        <f>1+LN(5)</f>
        <v>2.6094379124341005</v>
      </c>
      <c r="H128" s="407" t="s">
        <v>2279</v>
      </c>
    </row>
    <row r="129" spans="1:8" ht="30" customHeight="1" x14ac:dyDescent="0.2">
      <c r="A129" s="135">
        <v>4</v>
      </c>
      <c r="B129" s="102" t="s">
        <v>1193</v>
      </c>
      <c r="C129" s="102" t="s">
        <v>2280</v>
      </c>
      <c r="D129" s="88">
        <v>1</v>
      </c>
      <c r="E129" s="88">
        <v>2</v>
      </c>
      <c r="F129" s="98" t="s">
        <v>2281</v>
      </c>
      <c r="G129" s="96">
        <f>1+LN(4)</f>
        <v>2.3862943611198908</v>
      </c>
      <c r="H129" s="407" t="s">
        <v>2282</v>
      </c>
    </row>
    <row r="130" spans="1:8" ht="42" customHeight="1" x14ac:dyDescent="0.2">
      <c r="A130" s="135">
        <v>5</v>
      </c>
      <c r="B130" s="102" t="s">
        <v>916</v>
      </c>
      <c r="C130" s="102" t="s">
        <v>2280</v>
      </c>
      <c r="D130" s="88">
        <v>1</v>
      </c>
      <c r="E130" s="88">
        <v>3</v>
      </c>
      <c r="F130" s="136" t="s">
        <v>2272</v>
      </c>
      <c r="G130" s="96">
        <f>1+LN(6)</f>
        <v>2.791759469228055</v>
      </c>
      <c r="H130" s="407" t="s">
        <v>2283</v>
      </c>
    </row>
    <row r="131" spans="1:8" ht="30" customHeight="1" x14ac:dyDescent="0.2">
      <c r="A131" s="135">
        <v>6</v>
      </c>
      <c r="B131" s="102" t="s">
        <v>1207</v>
      </c>
      <c r="C131" s="102" t="s">
        <v>2278</v>
      </c>
      <c r="D131" s="88">
        <v>2</v>
      </c>
      <c r="E131" s="88">
        <v>3</v>
      </c>
      <c r="F131" s="98" t="s">
        <v>2272</v>
      </c>
      <c r="G131" s="96">
        <f>1+LN(6)</f>
        <v>2.791759469228055</v>
      </c>
      <c r="H131" s="407" t="s">
        <v>2284</v>
      </c>
    </row>
    <row r="132" spans="1:8" ht="30" customHeight="1" x14ac:dyDescent="0.2">
      <c r="A132" s="135">
        <v>7</v>
      </c>
      <c r="B132" s="102" t="s">
        <v>934</v>
      </c>
      <c r="C132" s="102" t="s">
        <v>2278</v>
      </c>
      <c r="D132" s="88">
        <v>1</v>
      </c>
      <c r="E132" s="88">
        <v>3</v>
      </c>
      <c r="F132" s="98" t="s">
        <v>2272</v>
      </c>
      <c r="G132" s="96">
        <f>1+LN(6)</f>
        <v>2.791759469228055</v>
      </c>
      <c r="H132" s="407" t="s">
        <v>2285</v>
      </c>
    </row>
    <row r="133" spans="1:8" ht="30" customHeight="1" x14ac:dyDescent="0.2">
      <c r="A133" s="135">
        <v>8</v>
      </c>
      <c r="B133" s="102" t="s">
        <v>1215</v>
      </c>
      <c r="C133" s="102" t="s">
        <v>2274</v>
      </c>
      <c r="D133" s="88">
        <v>1</v>
      </c>
      <c r="E133" s="88">
        <v>3</v>
      </c>
      <c r="F133" s="98" t="s">
        <v>2272</v>
      </c>
      <c r="G133" s="96">
        <f>1+LN(6)</f>
        <v>2.791759469228055</v>
      </c>
      <c r="H133" s="407" t="s">
        <v>2286</v>
      </c>
    </row>
    <row r="134" spans="1:8" ht="54" customHeight="1" x14ac:dyDescent="0.2">
      <c r="A134" s="135">
        <v>9</v>
      </c>
      <c r="B134" s="102" t="s">
        <v>947</v>
      </c>
      <c r="C134" s="102" t="s">
        <v>2287</v>
      </c>
      <c r="D134" s="88">
        <v>3</v>
      </c>
      <c r="E134" s="88">
        <v>5</v>
      </c>
      <c r="F134" s="136" t="s">
        <v>2288</v>
      </c>
      <c r="G134" s="96">
        <f>1+LN(8)</f>
        <v>3.0794415416798357</v>
      </c>
      <c r="H134" s="407" t="s">
        <v>2289</v>
      </c>
    </row>
    <row r="135" spans="1:8" ht="30" customHeight="1" x14ac:dyDescent="0.2">
      <c r="A135" s="135">
        <v>10</v>
      </c>
      <c r="B135" s="102" t="s">
        <v>952</v>
      </c>
      <c r="C135" s="102" t="s">
        <v>2274</v>
      </c>
      <c r="D135" s="88">
        <v>1</v>
      </c>
      <c r="E135" s="88">
        <v>2</v>
      </c>
      <c r="F135" s="98" t="s">
        <v>2275</v>
      </c>
      <c r="G135" s="96">
        <f>1+LN(5)</f>
        <v>2.6094379124341005</v>
      </c>
      <c r="H135" s="407" t="s">
        <v>2290</v>
      </c>
    </row>
    <row r="136" spans="1:8" ht="30" customHeight="1" x14ac:dyDescent="0.2">
      <c r="A136" s="135">
        <v>11</v>
      </c>
      <c r="B136" s="102" t="s">
        <v>2291</v>
      </c>
      <c r="C136" s="102" t="s">
        <v>2274</v>
      </c>
      <c r="D136" s="88">
        <v>1</v>
      </c>
      <c r="E136" s="88">
        <v>3</v>
      </c>
      <c r="F136" s="98" t="s">
        <v>2272</v>
      </c>
      <c r="G136" s="96">
        <f>1+LN(6)</f>
        <v>2.791759469228055</v>
      </c>
      <c r="H136" s="407" t="s">
        <v>2292</v>
      </c>
    </row>
    <row r="137" spans="1:8" ht="30" customHeight="1" x14ac:dyDescent="0.2">
      <c r="A137" s="135">
        <v>12</v>
      </c>
      <c r="B137" s="102" t="s">
        <v>961</v>
      </c>
      <c r="C137" s="102" t="s">
        <v>2293</v>
      </c>
      <c r="D137" s="88">
        <v>1</v>
      </c>
      <c r="E137" s="88">
        <v>3</v>
      </c>
      <c r="F137" s="98" t="s">
        <v>2272</v>
      </c>
      <c r="G137" s="96">
        <f>1+LN(6)</f>
        <v>2.791759469228055</v>
      </c>
      <c r="H137" s="407" t="s">
        <v>2294</v>
      </c>
    </row>
    <row r="138" spans="1:8" ht="42" customHeight="1" x14ac:dyDescent="0.2">
      <c r="A138" s="135">
        <v>13</v>
      </c>
      <c r="B138" s="102" t="s">
        <v>2295</v>
      </c>
      <c r="C138" s="102" t="s">
        <v>2293</v>
      </c>
      <c r="D138" s="88">
        <v>1</v>
      </c>
      <c r="E138" s="88">
        <v>4</v>
      </c>
      <c r="F138" s="98" t="s">
        <v>2296</v>
      </c>
      <c r="G138" s="96">
        <f>1+LN(7)</f>
        <v>2.9459101490553135</v>
      </c>
      <c r="H138" s="407" t="s">
        <v>2297</v>
      </c>
    </row>
    <row r="139" spans="1:8" ht="30" customHeight="1" x14ac:dyDescent="0.2">
      <c r="A139" s="135">
        <v>14</v>
      </c>
      <c r="B139" s="102" t="s">
        <v>971</v>
      </c>
      <c r="C139" s="102" t="s">
        <v>2274</v>
      </c>
      <c r="D139" s="88">
        <v>1</v>
      </c>
      <c r="E139" s="88">
        <v>3</v>
      </c>
      <c r="F139" s="98" t="s">
        <v>2275</v>
      </c>
      <c r="G139" s="96">
        <f>1+LN(5)</f>
        <v>2.6094379124341005</v>
      </c>
      <c r="H139" s="407" t="s">
        <v>2298</v>
      </c>
    </row>
    <row r="140" spans="1:8" ht="42" customHeight="1" x14ac:dyDescent="0.2">
      <c r="A140" s="135">
        <v>15</v>
      </c>
      <c r="B140" s="102" t="s">
        <v>2299</v>
      </c>
      <c r="C140" s="102" t="s">
        <v>2300</v>
      </c>
      <c r="D140" s="88">
        <v>1</v>
      </c>
      <c r="E140" s="88">
        <v>3</v>
      </c>
      <c r="F140" s="98" t="s">
        <v>2272</v>
      </c>
      <c r="G140" s="96">
        <f>1+LN(6)</f>
        <v>2.791759469228055</v>
      </c>
      <c r="H140" s="407" t="s">
        <v>2301</v>
      </c>
    </row>
    <row r="141" spans="1:8" ht="30" customHeight="1" x14ac:dyDescent="0.2">
      <c r="A141" s="135">
        <v>16</v>
      </c>
      <c r="B141" s="102" t="s">
        <v>983</v>
      </c>
      <c r="C141" s="102" t="s">
        <v>2280</v>
      </c>
      <c r="D141" s="88">
        <v>1</v>
      </c>
      <c r="E141" s="88">
        <v>2</v>
      </c>
      <c r="F141" s="98" t="s">
        <v>2275</v>
      </c>
      <c r="G141" s="96">
        <f>1+LN(5)</f>
        <v>2.6094379124341005</v>
      </c>
      <c r="H141" s="407" t="s">
        <v>2302</v>
      </c>
    </row>
    <row r="142" spans="1:8" ht="42" customHeight="1" x14ac:dyDescent="0.2">
      <c r="A142" s="135">
        <v>17</v>
      </c>
      <c r="B142" s="102" t="s">
        <v>989</v>
      </c>
      <c r="C142" s="102" t="s">
        <v>2280</v>
      </c>
      <c r="D142" s="88">
        <v>2</v>
      </c>
      <c r="E142" s="88">
        <v>3</v>
      </c>
      <c r="F142" s="136" t="s">
        <v>2275</v>
      </c>
      <c r="G142" s="96">
        <f>1+LN(5)</f>
        <v>2.6094379124341005</v>
      </c>
      <c r="H142" s="407" t="s">
        <v>2303</v>
      </c>
    </row>
    <row r="143" spans="1:8" ht="54" customHeight="1" x14ac:dyDescent="0.2">
      <c r="A143" s="135">
        <v>18</v>
      </c>
      <c r="B143" s="102" t="s">
        <v>995</v>
      </c>
      <c r="C143" s="102" t="s">
        <v>2274</v>
      </c>
      <c r="D143" s="88">
        <v>3</v>
      </c>
      <c r="E143" s="88">
        <v>4</v>
      </c>
      <c r="F143" s="136" t="s">
        <v>2296</v>
      </c>
      <c r="G143" s="96">
        <f>1+LN(7)</f>
        <v>2.9459101490553135</v>
      </c>
      <c r="H143" s="407" t="s">
        <v>2304</v>
      </c>
    </row>
    <row r="144" spans="1:8" ht="30" customHeight="1" x14ac:dyDescent="0.2">
      <c r="A144" s="135">
        <v>19</v>
      </c>
      <c r="B144" s="102" t="s">
        <v>1001</v>
      </c>
      <c r="C144" s="102" t="s">
        <v>2278</v>
      </c>
      <c r="D144" s="88">
        <v>2</v>
      </c>
      <c r="E144" s="88">
        <v>4</v>
      </c>
      <c r="F144" s="98" t="s">
        <v>2272</v>
      </c>
      <c r="G144" s="96">
        <f>1+LN(6)</f>
        <v>2.791759469228055</v>
      </c>
      <c r="H144" s="407" t="s">
        <v>2305</v>
      </c>
    </row>
    <row r="145" spans="1:8" ht="30" customHeight="1" x14ac:dyDescent="0.2">
      <c r="A145" s="135">
        <v>20</v>
      </c>
      <c r="B145" s="102" t="s">
        <v>2306</v>
      </c>
      <c r="C145" s="102" t="s">
        <v>2278</v>
      </c>
      <c r="D145" s="88">
        <v>2</v>
      </c>
      <c r="E145" s="88">
        <v>3</v>
      </c>
      <c r="F145" s="98" t="s">
        <v>2272</v>
      </c>
      <c r="G145" s="96">
        <f>1+LN(6)</f>
        <v>2.791759469228055</v>
      </c>
      <c r="H145" s="407" t="s">
        <v>2307</v>
      </c>
    </row>
    <row r="146" spans="1:8" ht="30" customHeight="1" x14ac:dyDescent="0.2">
      <c r="A146" s="135">
        <v>21</v>
      </c>
      <c r="B146" s="102" t="s">
        <v>1013</v>
      </c>
      <c r="C146" s="102" t="s">
        <v>1321</v>
      </c>
      <c r="D146" s="88">
        <v>1</v>
      </c>
      <c r="E146" s="88">
        <v>3</v>
      </c>
      <c r="F146" s="98" t="s">
        <v>2296</v>
      </c>
      <c r="G146" s="96">
        <f>1+LN(7)</f>
        <v>2.9459101490553135</v>
      </c>
      <c r="H146" s="407" t="s">
        <v>2308</v>
      </c>
    </row>
    <row r="147" spans="1:8" ht="30" customHeight="1" x14ac:dyDescent="0.2">
      <c r="A147" s="135">
        <v>22</v>
      </c>
      <c r="B147" s="102" t="s">
        <v>1022</v>
      </c>
      <c r="C147" s="102" t="s">
        <v>2309</v>
      </c>
      <c r="D147" s="88">
        <v>1</v>
      </c>
      <c r="E147" s="88">
        <v>3</v>
      </c>
      <c r="F147" s="98" t="s">
        <v>2296</v>
      </c>
      <c r="G147" s="96">
        <f>1+LN(7)</f>
        <v>2.9459101490553135</v>
      </c>
      <c r="H147" s="407" t="s">
        <v>2310</v>
      </c>
    </row>
    <row r="148" spans="1:8" ht="30" customHeight="1" x14ac:dyDescent="0.2">
      <c r="A148" s="135">
        <v>23</v>
      </c>
      <c r="B148" s="102" t="s">
        <v>1026</v>
      </c>
      <c r="C148" s="102" t="s">
        <v>2278</v>
      </c>
      <c r="D148" s="88">
        <v>2</v>
      </c>
      <c r="E148" s="88">
        <v>4</v>
      </c>
      <c r="F148" s="98" t="s">
        <v>2272</v>
      </c>
      <c r="G148" s="96">
        <f>1+LN(6)</f>
        <v>2.791759469228055</v>
      </c>
      <c r="H148" s="407" t="s">
        <v>2311</v>
      </c>
    </row>
    <row r="149" spans="1:8" ht="30" customHeight="1" x14ac:dyDescent="0.2">
      <c r="A149" s="135">
        <v>24</v>
      </c>
      <c r="B149" s="102" t="s">
        <v>1031</v>
      </c>
      <c r="C149" s="102" t="s">
        <v>2274</v>
      </c>
      <c r="D149" s="88">
        <v>2</v>
      </c>
      <c r="E149" s="88">
        <v>3</v>
      </c>
      <c r="F149" s="98" t="s">
        <v>2272</v>
      </c>
      <c r="G149" s="96">
        <f>1+LN(6)</f>
        <v>2.791759469228055</v>
      </c>
      <c r="H149" s="407" t="s">
        <v>2312</v>
      </c>
    </row>
    <row r="150" spans="1:8" ht="30" customHeight="1" x14ac:dyDescent="0.2">
      <c r="A150" s="135">
        <v>25</v>
      </c>
      <c r="B150" s="102" t="s">
        <v>1035</v>
      </c>
      <c r="C150" s="102" t="s">
        <v>2313</v>
      </c>
      <c r="D150" s="88">
        <v>2</v>
      </c>
      <c r="E150" s="88">
        <v>4</v>
      </c>
      <c r="F150" s="98" t="s">
        <v>2296</v>
      </c>
      <c r="G150" s="96">
        <f>1+LN(7)</f>
        <v>2.9459101490553135</v>
      </c>
      <c r="H150" s="407" t="s">
        <v>2314</v>
      </c>
    </row>
    <row r="151" spans="1:8" ht="30" customHeight="1" x14ac:dyDescent="0.2">
      <c r="A151" s="135">
        <v>26</v>
      </c>
      <c r="B151" s="102" t="s">
        <v>1040</v>
      </c>
      <c r="C151" s="102" t="s">
        <v>2280</v>
      </c>
      <c r="D151" s="88">
        <v>2</v>
      </c>
      <c r="E151" s="88">
        <v>2</v>
      </c>
      <c r="F151" s="98" t="s">
        <v>2275</v>
      </c>
      <c r="G151" s="96">
        <f>1+LN(5)</f>
        <v>2.6094379124341005</v>
      </c>
      <c r="H151" s="407" t="s">
        <v>2315</v>
      </c>
    </row>
    <row r="152" spans="1:8" ht="30" customHeight="1" x14ac:dyDescent="0.2">
      <c r="A152" s="135">
        <v>27</v>
      </c>
      <c r="B152" s="102" t="s">
        <v>1045</v>
      </c>
      <c r="C152" s="102" t="s">
        <v>1321</v>
      </c>
      <c r="D152" s="88">
        <v>2</v>
      </c>
      <c r="E152" s="88">
        <v>4</v>
      </c>
      <c r="F152" s="98" t="s">
        <v>2296</v>
      </c>
      <c r="G152" s="96">
        <f>1+LN(7)</f>
        <v>2.9459101490553135</v>
      </c>
      <c r="H152" s="407" t="s">
        <v>2316</v>
      </c>
    </row>
    <row r="153" spans="1:8" ht="30" customHeight="1" x14ac:dyDescent="0.2">
      <c r="A153" s="135">
        <v>28</v>
      </c>
      <c r="B153" s="102" t="s">
        <v>1687</v>
      </c>
      <c r="C153" s="102" t="s">
        <v>2278</v>
      </c>
      <c r="D153" s="88">
        <v>2</v>
      </c>
      <c r="E153" s="88">
        <v>4</v>
      </c>
      <c r="F153" s="98" t="s">
        <v>2272</v>
      </c>
      <c r="G153" s="96">
        <f>1+LN(6)</f>
        <v>2.791759469228055</v>
      </c>
      <c r="H153" s="407" t="s">
        <v>2317</v>
      </c>
    </row>
    <row r="154" spans="1:8" ht="54" customHeight="1" x14ac:dyDescent="0.2">
      <c r="A154" s="135">
        <v>29</v>
      </c>
      <c r="B154" s="102" t="s">
        <v>1055</v>
      </c>
      <c r="C154" s="102" t="s">
        <v>1321</v>
      </c>
      <c r="D154" s="88">
        <v>2</v>
      </c>
      <c r="E154" s="88">
        <v>5</v>
      </c>
      <c r="F154" s="136" t="s">
        <v>2288</v>
      </c>
      <c r="G154" s="96">
        <f>1+LN(8)</f>
        <v>3.0794415416798357</v>
      </c>
      <c r="H154" s="407" t="s">
        <v>2318</v>
      </c>
    </row>
    <row r="155" spans="1:8" ht="30" customHeight="1" x14ac:dyDescent="0.2">
      <c r="A155" s="135">
        <v>30</v>
      </c>
      <c r="B155" s="102" t="s">
        <v>1061</v>
      </c>
      <c r="C155" s="102" t="s">
        <v>2278</v>
      </c>
      <c r="D155" s="88">
        <v>1</v>
      </c>
      <c r="E155" s="88">
        <v>2</v>
      </c>
      <c r="F155" s="98" t="s">
        <v>2275</v>
      </c>
      <c r="G155" s="96">
        <f>1+LN(5)</f>
        <v>2.6094379124341005</v>
      </c>
      <c r="H155" s="407" t="s">
        <v>2319</v>
      </c>
    </row>
    <row r="156" spans="1:8" ht="30" customHeight="1" x14ac:dyDescent="0.2">
      <c r="A156" s="135">
        <v>31</v>
      </c>
      <c r="B156" s="102" t="s">
        <v>1297</v>
      </c>
      <c r="C156" s="102" t="s">
        <v>2280</v>
      </c>
      <c r="D156" s="88">
        <v>3</v>
      </c>
      <c r="E156" s="88">
        <v>3</v>
      </c>
      <c r="F156" s="98" t="s">
        <v>2275</v>
      </c>
      <c r="G156" s="96">
        <f>1+LN(5)</f>
        <v>2.6094379124341005</v>
      </c>
      <c r="H156" s="407" t="s">
        <v>2320</v>
      </c>
    </row>
    <row r="157" spans="1:8" ht="42" customHeight="1" x14ac:dyDescent="0.2">
      <c r="A157" s="135">
        <v>32</v>
      </c>
      <c r="B157" s="102" t="s">
        <v>1071</v>
      </c>
      <c r="C157" s="102" t="s">
        <v>1321</v>
      </c>
      <c r="D157" s="88">
        <v>1</v>
      </c>
      <c r="E157" s="88">
        <v>4</v>
      </c>
      <c r="F157" s="98" t="s">
        <v>2288</v>
      </c>
      <c r="G157" s="96">
        <f>1+LN(8)</f>
        <v>3.0794415416798357</v>
      </c>
      <c r="H157" s="407" t="s">
        <v>2321</v>
      </c>
    </row>
    <row r="158" spans="1:8" ht="30" customHeight="1" x14ac:dyDescent="0.2">
      <c r="A158" s="135">
        <v>33</v>
      </c>
      <c r="B158" s="102" t="s">
        <v>1075</v>
      </c>
      <c r="C158" s="102" t="s">
        <v>1321</v>
      </c>
      <c r="D158" s="88">
        <v>3</v>
      </c>
      <c r="E158" s="88">
        <v>3</v>
      </c>
      <c r="F158" s="98" t="s">
        <v>2272</v>
      </c>
      <c r="G158" s="96">
        <f>1+LN(6)</f>
        <v>2.791759469228055</v>
      </c>
      <c r="H158" s="407" t="s">
        <v>2322</v>
      </c>
    </row>
    <row r="159" spans="1:8" ht="30" customHeight="1" x14ac:dyDescent="0.2">
      <c r="A159" s="135">
        <v>34</v>
      </c>
      <c r="B159" s="102" t="s">
        <v>2323</v>
      </c>
      <c r="C159" s="102" t="s">
        <v>2280</v>
      </c>
      <c r="D159" s="88">
        <v>2</v>
      </c>
      <c r="E159" s="88">
        <v>2</v>
      </c>
      <c r="F159" s="98" t="s">
        <v>2281</v>
      </c>
      <c r="G159" s="96">
        <f>1+LN(4)</f>
        <v>2.3862943611198908</v>
      </c>
      <c r="H159" s="407" t="s">
        <v>2324</v>
      </c>
    </row>
    <row r="160" spans="1:8" ht="30" customHeight="1" x14ac:dyDescent="0.2">
      <c r="A160" s="135">
        <v>35</v>
      </c>
      <c r="B160" s="102" t="s">
        <v>2325</v>
      </c>
      <c r="C160" s="102" t="s">
        <v>2278</v>
      </c>
      <c r="D160" s="88">
        <v>2</v>
      </c>
      <c r="E160" s="88">
        <v>3</v>
      </c>
      <c r="F160" s="98" t="s">
        <v>2272</v>
      </c>
      <c r="G160" s="96">
        <f>1+LN(6)</f>
        <v>2.791759469228055</v>
      </c>
      <c r="H160" s="407" t="s">
        <v>2326</v>
      </c>
    </row>
    <row r="161" spans="1:8" ht="42" customHeight="1" x14ac:dyDescent="0.2">
      <c r="A161" s="135">
        <v>36</v>
      </c>
      <c r="B161" s="102" t="s">
        <v>2327</v>
      </c>
      <c r="C161" s="102" t="s">
        <v>2328</v>
      </c>
      <c r="D161" s="88">
        <v>1</v>
      </c>
      <c r="E161" s="88">
        <v>4</v>
      </c>
      <c r="F161" s="98" t="s">
        <v>2296</v>
      </c>
      <c r="G161" s="96">
        <f>1+LN(7)</f>
        <v>2.9459101490553135</v>
      </c>
      <c r="H161" s="407" t="s">
        <v>2329</v>
      </c>
    </row>
    <row r="162" spans="1:8" ht="30" customHeight="1" x14ac:dyDescent="0.2">
      <c r="A162" s="135">
        <v>37</v>
      </c>
      <c r="B162" s="102" t="s">
        <v>1670</v>
      </c>
      <c r="C162" s="102" t="s">
        <v>2330</v>
      </c>
      <c r="D162" s="88">
        <v>1</v>
      </c>
      <c r="E162" s="88">
        <v>4</v>
      </c>
      <c r="F162" s="98" t="s">
        <v>2296</v>
      </c>
      <c r="G162" s="96">
        <f>1+LN(7)</f>
        <v>2.9459101490553135</v>
      </c>
      <c r="H162" s="407" t="s">
        <v>2331</v>
      </c>
    </row>
    <row r="164" spans="1:8" ht="48" customHeight="1" x14ac:dyDescent="0.2">
      <c r="B164" s="468" t="s">
        <v>2332</v>
      </c>
      <c r="C164" s="416"/>
      <c r="D164" s="416"/>
      <c r="E164" s="416"/>
      <c r="F164" s="416"/>
      <c r="G164" s="416"/>
      <c r="H164" s="416"/>
    </row>
    <row r="166" spans="1:8" ht="24" customHeight="1" x14ac:dyDescent="0.2">
      <c r="B166" s="475" t="s">
        <v>2333</v>
      </c>
      <c r="C166" s="416"/>
      <c r="D166" s="416"/>
      <c r="E166" s="416"/>
      <c r="F166" s="416"/>
      <c r="G166" s="416"/>
      <c r="H166" s="416"/>
    </row>
    <row r="167" spans="1:8" ht="15" customHeight="1" x14ac:dyDescent="0.2">
      <c r="B167" s="468" t="s">
        <v>2334</v>
      </c>
      <c r="C167" s="416"/>
      <c r="D167" s="416"/>
      <c r="E167" s="416"/>
      <c r="F167" s="416"/>
      <c r="G167" s="416"/>
      <c r="H167" s="416"/>
    </row>
    <row r="168" spans="1:8" ht="15" customHeight="1" x14ac:dyDescent="0.2">
      <c r="B168" s="468" t="s">
        <v>2335</v>
      </c>
      <c r="C168" s="416"/>
      <c r="D168" s="416"/>
      <c r="E168" s="416"/>
      <c r="F168" s="416"/>
      <c r="G168" s="416"/>
      <c r="H168" s="416"/>
    </row>
    <row r="169" spans="1:8" ht="15" customHeight="1" x14ac:dyDescent="0.2">
      <c r="B169" s="468" t="s">
        <v>2336</v>
      </c>
      <c r="C169" s="416"/>
      <c r="D169" s="416"/>
      <c r="E169" s="416"/>
      <c r="F169" s="416"/>
      <c r="G169" s="416"/>
      <c r="H169" s="416"/>
    </row>
    <row r="170" spans="1:8" ht="15" customHeight="1" x14ac:dyDescent="0.2">
      <c r="B170" s="468" t="s">
        <v>2337</v>
      </c>
      <c r="C170" s="416"/>
      <c r="D170" s="416"/>
      <c r="E170" s="416"/>
      <c r="F170" s="416"/>
      <c r="G170" s="416"/>
      <c r="H170" s="416"/>
    </row>
    <row r="171" spans="1:8" ht="15" customHeight="1" x14ac:dyDescent="0.2">
      <c r="B171" s="468" t="s">
        <v>2338</v>
      </c>
      <c r="C171" s="416"/>
      <c r="D171" s="416"/>
      <c r="E171" s="416"/>
      <c r="F171" s="416"/>
      <c r="G171" s="416"/>
      <c r="H171" s="416"/>
    </row>
    <row r="174" spans="1:8" x14ac:dyDescent="0.2">
      <c r="B174" s="257" t="s">
        <v>853</v>
      </c>
    </row>
  </sheetData>
  <mergeCells count="39">
    <mergeCell ref="B171:H171"/>
    <mergeCell ref="A112:H112"/>
    <mergeCell ref="B116:H116"/>
    <mergeCell ref="A111:H111"/>
    <mergeCell ref="B168:H168"/>
    <mergeCell ref="B170:H170"/>
    <mergeCell ref="A106:H106"/>
    <mergeCell ref="A109:H109"/>
    <mergeCell ref="E118:H118"/>
    <mergeCell ref="B88:H88"/>
    <mergeCell ref="B166:H166"/>
    <mergeCell ref="A3:H3"/>
    <mergeCell ref="A101:H101"/>
    <mergeCell ref="A105:H105"/>
    <mergeCell ref="A113:H113"/>
    <mergeCell ref="A104:H104"/>
    <mergeCell ref="B86:H86"/>
    <mergeCell ref="A40:H40"/>
    <mergeCell ref="A43:H43"/>
    <mergeCell ref="A52:H52"/>
    <mergeCell ref="B87:H87"/>
    <mergeCell ref="E120:H120"/>
    <mergeCell ref="B124:H124"/>
    <mergeCell ref="A110:H110"/>
    <mergeCell ref="B164:H164"/>
    <mergeCell ref="B169:H169"/>
    <mergeCell ref="B122:H122"/>
    <mergeCell ref="B115:H115"/>
    <mergeCell ref="B167:H167"/>
    <mergeCell ref="E119:H119"/>
    <mergeCell ref="A30:H30"/>
    <mergeCell ref="A83:H83"/>
    <mergeCell ref="A15:H15"/>
    <mergeCell ref="A64:H64"/>
    <mergeCell ref="A107:H107"/>
    <mergeCell ref="B89:H89"/>
    <mergeCell ref="A108:H108"/>
    <mergeCell ref="B90:H90"/>
    <mergeCell ref="A27:H2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6" customWidth="1"/>
    <col min="2" max="2" width="13.046875" style="396" customWidth="1"/>
    <col min="3" max="3" width="20.04296875" style="396" customWidth="1"/>
    <col min="4" max="4" width="16.0078125" style="396" customWidth="1"/>
    <col min="5" max="5" width="11.97265625" style="396" customWidth="1"/>
    <col min="6" max="6" width="27.0390625" style="396" customWidth="1"/>
    <col min="7" max="7" width="23.9453125" style="396" customWidth="1"/>
    <col min="8" max="8" width="13.046875" style="396" customWidth="1"/>
    <col min="9" max="9" width="16.0078125" style="396" customWidth="1"/>
    <col min="10" max="10" width="20.04296875" style="396" customWidth="1"/>
    <col min="11" max="11" width="34.03125" style="396" customWidth="1"/>
  </cols>
  <sheetData>
    <row r="2" spans="2:11" ht="33.950000000000003" customHeight="1" x14ac:dyDescent="0.2">
      <c r="B2" s="485" t="s">
        <v>75</v>
      </c>
      <c r="C2" s="416"/>
      <c r="D2" s="416"/>
      <c r="E2" s="416"/>
      <c r="F2" s="416"/>
      <c r="G2" s="416"/>
      <c r="H2" s="416"/>
      <c r="I2" s="416"/>
      <c r="J2" s="416"/>
      <c r="K2" s="416"/>
    </row>
    <row r="3" spans="2:11" ht="3.95" customHeight="1" x14ac:dyDescent="0.2">
      <c r="B3" s="138"/>
      <c r="C3" s="138"/>
      <c r="D3" s="138"/>
      <c r="E3" s="138"/>
      <c r="F3" s="138"/>
      <c r="G3" s="138"/>
      <c r="H3" s="138"/>
      <c r="I3" s="138"/>
      <c r="J3" s="138"/>
      <c r="K3" s="138"/>
    </row>
    <row r="4" spans="2:11" ht="18" customHeight="1" x14ac:dyDescent="0.2">
      <c r="B4" s="483" t="s">
        <v>2339</v>
      </c>
      <c r="C4" s="416"/>
      <c r="D4" s="416"/>
      <c r="E4" s="416"/>
      <c r="F4" s="416"/>
      <c r="G4" s="416"/>
      <c r="H4" s="416"/>
      <c r="I4" s="416"/>
      <c r="J4" s="416"/>
      <c r="K4" s="416"/>
    </row>
    <row r="6" spans="2:11" ht="30" customHeight="1" x14ac:dyDescent="0.2">
      <c r="B6" s="139" t="s">
        <v>2340</v>
      </c>
      <c r="C6" s="140" t="s">
        <v>2341</v>
      </c>
      <c r="D6" s="140" t="s">
        <v>2342</v>
      </c>
      <c r="E6" s="140" t="s">
        <v>2343</v>
      </c>
      <c r="F6" s="140" t="s">
        <v>2344</v>
      </c>
      <c r="G6" s="140" t="s">
        <v>2345</v>
      </c>
      <c r="H6" s="140" t="s">
        <v>2346</v>
      </c>
      <c r="I6" s="140" t="s">
        <v>2347</v>
      </c>
      <c r="J6" s="140" t="s">
        <v>2348</v>
      </c>
      <c r="K6" s="141" t="s">
        <v>2349</v>
      </c>
    </row>
    <row r="7" spans="2:11" ht="26.1" customHeight="1" x14ac:dyDescent="0.2">
      <c r="B7" s="142" t="s">
        <v>2350</v>
      </c>
      <c r="C7" s="143" t="s">
        <v>2351</v>
      </c>
      <c r="D7" s="144" t="s">
        <v>2352</v>
      </c>
      <c r="E7" s="145" t="s">
        <v>2353</v>
      </c>
      <c r="F7" s="146" t="s">
        <v>2354</v>
      </c>
      <c r="G7" s="146" t="s">
        <v>2355</v>
      </c>
      <c r="H7" s="144" t="s">
        <v>2356</v>
      </c>
      <c r="I7" s="144" t="s">
        <v>2357</v>
      </c>
      <c r="J7" s="146" t="s">
        <v>2358</v>
      </c>
      <c r="K7" s="147" t="s">
        <v>2359</v>
      </c>
    </row>
    <row r="8" spans="2:11" ht="26.1" customHeight="1" x14ac:dyDescent="0.2">
      <c r="B8" s="142" t="s">
        <v>2360</v>
      </c>
      <c r="C8" s="143" t="s">
        <v>2361</v>
      </c>
      <c r="D8" s="144" t="s">
        <v>2352</v>
      </c>
      <c r="E8" s="145" t="s">
        <v>2353</v>
      </c>
      <c r="F8" s="146" t="s">
        <v>2362</v>
      </c>
      <c r="G8" s="146" t="s">
        <v>2363</v>
      </c>
      <c r="H8" s="144" t="s">
        <v>2364</v>
      </c>
      <c r="I8" s="144" t="s">
        <v>2365</v>
      </c>
      <c r="J8" s="146" t="s">
        <v>2366</v>
      </c>
      <c r="K8" s="147" t="s">
        <v>2367</v>
      </c>
    </row>
    <row r="9" spans="2:11" ht="26.1" customHeight="1" x14ac:dyDescent="0.2">
      <c r="B9" s="142" t="s">
        <v>2368</v>
      </c>
      <c r="C9" s="143" t="s">
        <v>2369</v>
      </c>
      <c r="D9" s="144" t="s">
        <v>2352</v>
      </c>
      <c r="E9" s="145" t="s">
        <v>2353</v>
      </c>
      <c r="F9" s="146" t="s">
        <v>2370</v>
      </c>
      <c r="G9" s="146" t="s">
        <v>2371</v>
      </c>
      <c r="H9" s="144" t="s">
        <v>2372</v>
      </c>
      <c r="I9" s="144" t="s">
        <v>2373</v>
      </c>
      <c r="J9" s="146" t="s">
        <v>2374</v>
      </c>
      <c r="K9" s="147" t="s">
        <v>2375</v>
      </c>
    </row>
    <row r="10" spans="2:11" ht="26.1" customHeight="1" x14ac:dyDescent="0.2">
      <c r="B10" s="142" t="s">
        <v>2376</v>
      </c>
      <c r="C10" s="143" t="s">
        <v>2377</v>
      </c>
      <c r="D10" s="144" t="s">
        <v>2352</v>
      </c>
      <c r="E10" s="145" t="s">
        <v>2353</v>
      </c>
      <c r="F10" s="146" t="s">
        <v>2378</v>
      </c>
      <c r="G10" s="146" t="s">
        <v>2379</v>
      </c>
      <c r="H10" s="144" t="s">
        <v>2380</v>
      </c>
      <c r="I10" s="144" t="s">
        <v>1189</v>
      </c>
      <c r="J10" s="146" t="s">
        <v>2381</v>
      </c>
      <c r="K10" s="147" t="s">
        <v>2382</v>
      </c>
    </row>
    <row r="11" spans="2:11" ht="26.1" customHeight="1" x14ac:dyDescent="0.2">
      <c r="B11" s="142" t="s">
        <v>2383</v>
      </c>
      <c r="C11" s="143" t="s">
        <v>2384</v>
      </c>
      <c r="D11" s="144" t="s">
        <v>2352</v>
      </c>
      <c r="E11" s="145" t="s">
        <v>2353</v>
      </c>
      <c r="F11" s="146" t="s">
        <v>2385</v>
      </c>
      <c r="G11" s="146" t="s">
        <v>2386</v>
      </c>
      <c r="H11" s="144" t="s">
        <v>2387</v>
      </c>
      <c r="I11" s="144" t="s">
        <v>2388</v>
      </c>
      <c r="J11" s="146" t="s">
        <v>2374</v>
      </c>
      <c r="K11" s="147" t="s">
        <v>2389</v>
      </c>
    </row>
    <row r="12" spans="2:11" ht="26.1" customHeight="1" x14ac:dyDescent="0.2">
      <c r="B12" s="142" t="s">
        <v>2390</v>
      </c>
      <c r="C12" s="143" t="s">
        <v>2391</v>
      </c>
      <c r="D12" s="144" t="s">
        <v>2352</v>
      </c>
      <c r="E12" s="145" t="s">
        <v>2353</v>
      </c>
      <c r="F12" s="146" t="s">
        <v>2392</v>
      </c>
      <c r="G12" s="146" t="s">
        <v>2393</v>
      </c>
      <c r="H12" s="144" t="s">
        <v>449</v>
      </c>
      <c r="I12" s="144" t="s">
        <v>449</v>
      </c>
      <c r="J12" s="146" t="s">
        <v>2394</v>
      </c>
      <c r="K12" s="147" t="s">
        <v>2395</v>
      </c>
    </row>
    <row r="13" spans="2:11" ht="26.1" customHeight="1" x14ac:dyDescent="0.2">
      <c r="B13" s="142" t="s">
        <v>2396</v>
      </c>
      <c r="C13" s="143" t="s">
        <v>2397</v>
      </c>
      <c r="D13" s="144" t="s">
        <v>2352</v>
      </c>
      <c r="E13" s="145" t="s">
        <v>2353</v>
      </c>
      <c r="F13" s="146" t="s">
        <v>2398</v>
      </c>
      <c r="G13" s="146" t="s">
        <v>2399</v>
      </c>
      <c r="H13" s="144" t="s">
        <v>449</v>
      </c>
      <c r="I13" s="144" t="s">
        <v>449</v>
      </c>
      <c r="J13" s="146" t="s">
        <v>1814</v>
      </c>
      <c r="K13" s="147" t="s">
        <v>2400</v>
      </c>
    </row>
    <row r="14" spans="2:11" ht="26.1" customHeight="1" x14ac:dyDescent="0.2">
      <c r="B14" s="142" t="s">
        <v>2401</v>
      </c>
      <c r="C14" s="143" t="s">
        <v>2402</v>
      </c>
      <c r="D14" s="144" t="s">
        <v>2403</v>
      </c>
      <c r="E14" s="148" t="s">
        <v>2404</v>
      </c>
      <c r="F14" s="146" t="s">
        <v>2405</v>
      </c>
      <c r="G14" s="146" t="s">
        <v>2363</v>
      </c>
      <c r="H14" s="144" t="s">
        <v>449</v>
      </c>
      <c r="I14" s="144" t="s">
        <v>449</v>
      </c>
      <c r="J14" s="146" t="s">
        <v>449</v>
      </c>
      <c r="K14" s="147" t="s">
        <v>2406</v>
      </c>
    </row>
    <row r="15" spans="2:11" ht="26.1" customHeight="1" x14ac:dyDescent="0.2">
      <c r="B15" s="142" t="s">
        <v>2407</v>
      </c>
      <c r="C15" s="143" t="s">
        <v>2408</v>
      </c>
      <c r="D15" s="144" t="s">
        <v>2403</v>
      </c>
      <c r="E15" s="148" t="s">
        <v>2404</v>
      </c>
      <c r="F15" s="146" t="s">
        <v>2409</v>
      </c>
      <c r="G15" s="146" t="s">
        <v>2363</v>
      </c>
      <c r="H15" s="144" t="s">
        <v>449</v>
      </c>
      <c r="I15" s="144" t="s">
        <v>449</v>
      </c>
      <c r="J15" s="146" t="s">
        <v>449</v>
      </c>
      <c r="K15" s="147" t="s">
        <v>2410</v>
      </c>
    </row>
    <row r="16" spans="2:11" ht="26.1" customHeight="1" x14ac:dyDescent="0.2">
      <c r="B16" s="142" t="s">
        <v>2411</v>
      </c>
      <c r="C16" s="143" t="s">
        <v>2412</v>
      </c>
      <c r="D16" s="144" t="s">
        <v>2403</v>
      </c>
      <c r="E16" s="148" t="s">
        <v>2404</v>
      </c>
      <c r="F16" s="146" t="s">
        <v>2413</v>
      </c>
      <c r="G16" s="146" t="s">
        <v>2363</v>
      </c>
      <c r="H16" s="144" t="s">
        <v>449</v>
      </c>
      <c r="I16" s="144" t="s">
        <v>449</v>
      </c>
      <c r="J16" s="146" t="s">
        <v>449</v>
      </c>
      <c r="K16" s="147" t="s">
        <v>2414</v>
      </c>
    </row>
    <row r="17" spans="2:11" ht="26.1" customHeight="1" x14ac:dyDescent="0.2">
      <c r="B17" s="142" t="s">
        <v>2415</v>
      </c>
      <c r="C17" s="143" t="s">
        <v>2416</v>
      </c>
      <c r="D17" s="144" t="s">
        <v>2403</v>
      </c>
      <c r="E17" s="148" t="s">
        <v>2404</v>
      </c>
      <c r="F17" s="146" t="s">
        <v>2417</v>
      </c>
      <c r="G17" s="146" t="s">
        <v>2363</v>
      </c>
      <c r="H17" s="144" t="s">
        <v>449</v>
      </c>
      <c r="I17" s="144" t="s">
        <v>449</v>
      </c>
      <c r="J17" s="146" t="s">
        <v>449</v>
      </c>
      <c r="K17" s="147" t="s">
        <v>2418</v>
      </c>
    </row>
    <row r="18" spans="2:11" ht="26.1" customHeight="1" x14ac:dyDescent="0.2">
      <c r="B18" s="142" t="s">
        <v>2419</v>
      </c>
      <c r="C18" s="143" t="s">
        <v>2420</v>
      </c>
      <c r="D18" s="144" t="s">
        <v>2403</v>
      </c>
      <c r="E18" s="148" t="s">
        <v>2404</v>
      </c>
      <c r="F18" s="146" t="s">
        <v>2421</v>
      </c>
      <c r="G18" s="146" t="s">
        <v>2363</v>
      </c>
      <c r="H18" s="144" t="s">
        <v>449</v>
      </c>
      <c r="I18" s="144" t="s">
        <v>449</v>
      </c>
      <c r="J18" s="146" t="s">
        <v>449</v>
      </c>
      <c r="K18" s="147" t="s">
        <v>2422</v>
      </c>
    </row>
    <row r="19" spans="2:11" ht="26.1" customHeight="1" x14ac:dyDescent="0.2">
      <c r="B19" s="142" t="s">
        <v>2423</v>
      </c>
      <c r="C19" s="143" t="s">
        <v>2424</v>
      </c>
      <c r="D19" s="144" t="s">
        <v>2403</v>
      </c>
      <c r="E19" s="148" t="s">
        <v>2404</v>
      </c>
      <c r="F19" s="146" t="s">
        <v>2425</v>
      </c>
      <c r="G19" s="146" t="s">
        <v>2363</v>
      </c>
      <c r="H19" s="144" t="s">
        <v>449</v>
      </c>
      <c r="I19" s="144" t="s">
        <v>449</v>
      </c>
      <c r="J19" s="146" t="s">
        <v>449</v>
      </c>
      <c r="K19" s="147" t="s">
        <v>2426</v>
      </c>
    </row>
    <row r="20" spans="2:11" ht="26.1" customHeight="1" x14ac:dyDescent="0.2">
      <c r="B20" s="142" t="s">
        <v>2427</v>
      </c>
      <c r="C20" s="143" t="s">
        <v>2428</v>
      </c>
      <c r="D20" s="144" t="s">
        <v>2403</v>
      </c>
      <c r="E20" s="148" t="s">
        <v>2404</v>
      </c>
      <c r="F20" s="146" t="s">
        <v>2429</v>
      </c>
      <c r="G20" s="146" t="s">
        <v>2363</v>
      </c>
      <c r="H20" s="144" t="s">
        <v>449</v>
      </c>
      <c r="I20" s="144" t="s">
        <v>449</v>
      </c>
      <c r="J20" s="146" t="s">
        <v>449</v>
      </c>
      <c r="K20" s="147" t="s">
        <v>2429</v>
      </c>
    </row>
    <row r="21" spans="2:11" ht="26.1" customHeight="1" x14ac:dyDescent="0.2">
      <c r="B21" s="142" t="s">
        <v>2430</v>
      </c>
      <c r="C21" s="143" t="s">
        <v>2431</v>
      </c>
      <c r="D21" s="144" t="s">
        <v>2403</v>
      </c>
      <c r="E21" s="148" t="s">
        <v>2404</v>
      </c>
      <c r="F21" s="146" t="s">
        <v>2432</v>
      </c>
      <c r="G21" s="146" t="s">
        <v>2363</v>
      </c>
      <c r="H21" s="144" t="s">
        <v>449</v>
      </c>
      <c r="I21" s="144" t="s">
        <v>449</v>
      </c>
      <c r="J21" s="146" t="s">
        <v>449</v>
      </c>
      <c r="K21" s="147" t="s">
        <v>2433</v>
      </c>
    </row>
    <row r="22" spans="2:11" ht="26.1" customHeight="1" x14ac:dyDescent="0.2">
      <c r="B22" s="142" t="s">
        <v>2434</v>
      </c>
      <c r="C22" s="143" t="s">
        <v>2435</v>
      </c>
      <c r="D22" s="144" t="s">
        <v>2403</v>
      </c>
      <c r="E22" s="148" t="s">
        <v>2404</v>
      </c>
      <c r="F22" s="146" t="s">
        <v>2436</v>
      </c>
      <c r="G22" s="146" t="s">
        <v>2363</v>
      </c>
      <c r="H22" s="144" t="s">
        <v>449</v>
      </c>
      <c r="I22" s="144" t="s">
        <v>449</v>
      </c>
      <c r="J22" s="146" t="s">
        <v>449</v>
      </c>
      <c r="K22" s="147" t="s">
        <v>2437</v>
      </c>
    </row>
    <row r="23" spans="2:11" ht="26.1" customHeight="1" x14ac:dyDescent="0.2">
      <c r="B23" s="142" t="s">
        <v>2438</v>
      </c>
      <c r="C23" s="143" t="s">
        <v>2439</v>
      </c>
      <c r="D23" s="144" t="s">
        <v>2403</v>
      </c>
      <c r="E23" s="148" t="s">
        <v>2404</v>
      </c>
      <c r="F23" s="146" t="s">
        <v>2440</v>
      </c>
      <c r="G23" s="146" t="s">
        <v>2363</v>
      </c>
      <c r="H23" s="144" t="s">
        <v>449</v>
      </c>
      <c r="I23" s="144" t="s">
        <v>449</v>
      </c>
      <c r="J23" s="146" t="s">
        <v>449</v>
      </c>
      <c r="K23" s="147" t="s">
        <v>2441</v>
      </c>
    </row>
    <row r="24" spans="2:11" ht="26.1" customHeight="1" x14ac:dyDescent="0.2">
      <c r="B24" s="142" t="s">
        <v>2442</v>
      </c>
      <c r="C24" s="143" t="s">
        <v>2443</v>
      </c>
      <c r="D24" s="144" t="s">
        <v>2403</v>
      </c>
      <c r="E24" s="148" t="s">
        <v>2404</v>
      </c>
      <c r="F24" s="146" t="s">
        <v>2444</v>
      </c>
      <c r="G24" s="146" t="s">
        <v>2363</v>
      </c>
      <c r="H24" s="144" t="s">
        <v>449</v>
      </c>
      <c r="I24" s="144" t="s">
        <v>449</v>
      </c>
      <c r="J24" s="146" t="s">
        <v>449</v>
      </c>
      <c r="K24" s="147" t="s">
        <v>2445</v>
      </c>
    </row>
    <row r="25" spans="2:11" ht="26.1" customHeight="1" x14ac:dyDescent="0.2">
      <c r="B25" s="142" t="s">
        <v>2446</v>
      </c>
      <c r="C25" s="143" t="s">
        <v>2447</v>
      </c>
      <c r="D25" s="144" t="s">
        <v>2403</v>
      </c>
      <c r="E25" s="148" t="s">
        <v>2404</v>
      </c>
      <c r="F25" s="146" t="s">
        <v>2448</v>
      </c>
      <c r="G25" s="146" t="s">
        <v>2363</v>
      </c>
      <c r="H25" s="144" t="s">
        <v>449</v>
      </c>
      <c r="I25" s="144" t="s">
        <v>449</v>
      </c>
      <c r="J25" s="146" t="s">
        <v>449</v>
      </c>
      <c r="K25" s="147" t="s">
        <v>2449</v>
      </c>
    </row>
    <row r="26" spans="2:11" ht="26.1" customHeight="1" x14ac:dyDescent="0.2">
      <c r="B26" s="142" t="s">
        <v>2450</v>
      </c>
      <c r="C26" s="143" t="s">
        <v>2451</v>
      </c>
      <c r="D26" s="144" t="s">
        <v>2403</v>
      </c>
      <c r="E26" s="148" t="s">
        <v>2404</v>
      </c>
      <c r="F26" s="146" t="s">
        <v>2452</v>
      </c>
      <c r="G26" s="146" t="s">
        <v>2363</v>
      </c>
      <c r="H26" s="144" t="s">
        <v>449</v>
      </c>
      <c r="I26" s="144" t="s">
        <v>449</v>
      </c>
      <c r="J26" s="146" t="s">
        <v>449</v>
      </c>
      <c r="K26" s="147" t="s">
        <v>2453</v>
      </c>
    </row>
    <row r="27" spans="2:11" ht="26.1" customHeight="1" x14ac:dyDescent="0.2">
      <c r="B27" s="142" t="s">
        <v>2454</v>
      </c>
      <c r="C27" s="143" t="s">
        <v>2455</v>
      </c>
      <c r="D27" s="144" t="s">
        <v>2403</v>
      </c>
      <c r="E27" s="148" t="s">
        <v>2404</v>
      </c>
      <c r="F27" s="146" t="s">
        <v>2456</v>
      </c>
      <c r="G27" s="146" t="s">
        <v>2363</v>
      </c>
      <c r="H27" s="144" t="s">
        <v>449</v>
      </c>
      <c r="I27" s="144" t="s">
        <v>449</v>
      </c>
      <c r="J27" s="146" t="s">
        <v>449</v>
      </c>
      <c r="K27" s="147" t="s">
        <v>2457</v>
      </c>
    </row>
    <row r="28" spans="2:11" ht="26.1" customHeight="1" x14ac:dyDescent="0.2">
      <c r="B28" s="142" t="s">
        <v>2458</v>
      </c>
      <c r="C28" s="143" t="s">
        <v>2459</v>
      </c>
      <c r="D28" s="144" t="s">
        <v>2460</v>
      </c>
      <c r="E28" s="149" t="s">
        <v>2461</v>
      </c>
      <c r="F28" s="146" t="s">
        <v>2462</v>
      </c>
      <c r="G28" s="146" t="s">
        <v>2463</v>
      </c>
      <c r="H28" s="144" t="s">
        <v>449</v>
      </c>
      <c r="I28" s="144" t="s">
        <v>449</v>
      </c>
      <c r="J28" s="146" t="s">
        <v>449</v>
      </c>
      <c r="K28" s="147" t="s">
        <v>2464</v>
      </c>
    </row>
    <row r="29" spans="2:11" ht="26.1" customHeight="1" x14ac:dyDescent="0.2">
      <c r="B29" s="142" t="s">
        <v>2465</v>
      </c>
      <c r="C29" s="143" t="s">
        <v>2466</v>
      </c>
      <c r="D29" s="144" t="s">
        <v>2460</v>
      </c>
      <c r="E29" s="149" t="s">
        <v>2461</v>
      </c>
      <c r="F29" s="146" t="s">
        <v>2467</v>
      </c>
      <c r="G29" s="146" t="s">
        <v>2468</v>
      </c>
      <c r="H29" s="144" t="s">
        <v>449</v>
      </c>
      <c r="I29" s="144" t="s">
        <v>449</v>
      </c>
      <c r="J29" s="146" t="s">
        <v>449</v>
      </c>
      <c r="K29" s="147" t="s">
        <v>2469</v>
      </c>
    </row>
    <row r="30" spans="2:11" ht="26.1" customHeight="1" x14ac:dyDescent="0.2">
      <c r="B30" s="142" t="s">
        <v>2470</v>
      </c>
      <c r="C30" s="143" t="s">
        <v>2471</v>
      </c>
      <c r="D30" s="144" t="s">
        <v>2460</v>
      </c>
      <c r="E30" s="149" t="s">
        <v>2461</v>
      </c>
      <c r="F30" s="146" t="s">
        <v>2472</v>
      </c>
      <c r="G30" s="146" t="s">
        <v>2468</v>
      </c>
      <c r="H30" s="144" t="s">
        <v>449</v>
      </c>
      <c r="I30" s="144" t="s">
        <v>449</v>
      </c>
      <c r="J30" s="146" t="s">
        <v>449</v>
      </c>
      <c r="K30" s="147" t="s">
        <v>2473</v>
      </c>
    </row>
    <row r="31" spans="2:11" ht="26.1" customHeight="1" x14ac:dyDescent="0.2">
      <c r="B31" s="142" t="s">
        <v>2474</v>
      </c>
      <c r="C31" s="143" t="s">
        <v>2475</v>
      </c>
      <c r="D31" s="144" t="s">
        <v>2476</v>
      </c>
      <c r="E31" s="150" t="s">
        <v>2477</v>
      </c>
      <c r="F31" s="146" t="s">
        <v>2478</v>
      </c>
      <c r="G31" s="146" t="s">
        <v>2479</v>
      </c>
      <c r="H31" s="144" t="s">
        <v>449</v>
      </c>
      <c r="I31" s="144" t="s">
        <v>449</v>
      </c>
      <c r="J31" s="146" t="s">
        <v>449</v>
      </c>
      <c r="K31" s="147" t="s">
        <v>2480</v>
      </c>
    </row>
    <row r="32" spans="2:11" ht="26.1" customHeight="1" x14ac:dyDescent="0.2">
      <c r="B32" s="142" t="s">
        <v>2481</v>
      </c>
      <c r="C32" s="143" t="s">
        <v>2482</v>
      </c>
      <c r="D32" s="144" t="s">
        <v>2476</v>
      </c>
      <c r="E32" s="150" t="s">
        <v>2477</v>
      </c>
      <c r="F32" s="146" t="s">
        <v>2483</v>
      </c>
      <c r="G32" s="146" t="s">
        <v>2463</v>
      </c>
      <c r="H32" s="144" t="s">
        <v>449</v>
      </c>
      <c r="I32" s="144" t="s">
        <v>449</v>
      </c>
      <c r="J32" s="146" t="s">
        <v>449</v>
      </c>
      <c r="K32" s="147" t="s">
        <v>2484</v>
      </c>
    </row>
    <row r="33" spans="2:11" ht="26.1" customHeight="1" x14ac:dyDescent="0.2">
      <c r="B33" s="142" t="s">
        <v>2485</v>
      </c>
      <c r="C33" s="143" t="s">
        <v>2486</v>
      </c>
      <c r="D33" s="144" t="s">
        <v>2476</v>
      </c>
      <c r="E33" s="150" t="s">
        <v>2477</v>
      </c>
      <c r="F33" s="146" t="s">
        <v>2487</v>
      </c>
      <c r="G33" s="146" t="s">
        <v>2488</v>
      </c>
      <c r="H33" s="144" t="s">
        <v>449</v>
      </c>
      <c r="I33" s="144" t="s">
        <v>449</v>
      </c>
      <c r="J33" s="146" t="s">
        <v>449</v>
      </c>
      <c r="K33" s="147" t="s">
        <v>2489</v>
      </c>
    </row>
    <row r="34" spans="2:11" ht="26.1" customHeight="1" x14ac:dyDescent="0.2">
      <c r="B34" s="142" t="s">
        <v>2490</v>
      </c>
      <c r="C34" s="143" t="s">
        <v>2491</v>
      </c>
      <c r="D34" s="144" t="s">
        <v>2492</v>
      </c>
      <c r="E34" s="151" t="s">
        <v>2493</v>
      </c>
      <c r="F34" s="146" t="s">
        <v>2494</v>
      </c>
      <c r="G34" s="146" t="s">
        <v>2495</v>
      </c>
      <c r="H34" s="144" t="s">
        <v>449</v>
      </c>
      <c r="I34" s="144" t="s">
        <v>449</v>
      </c>
      <c r="J34" s="146" t="s">
        <v>449</v>
      </c>
      <c r="K34" s="147" t="s">
        <v>2496</v>
      </c>
    </row>
    <row r="35" spans="2:11" ht="26.1" customHeight="1" x14ac:dyDescent="0.2">
      <c r="B35" s="142" t="s">
        <v>2497</v>
      </c>
      <c r="C35" s="143" t="s">
        <v>2498</v>
      </c>
      <c r="D35" s="144" t="s">
        <v>2492</v>
      </c>
      <c r="E35" s="151" t="s">
        <v>2493</v>
      </c>
      <c r="F35" s="146" t="s">
        <v>2499</v>
      </c>
      <c r="G35" s="146" t="s">
        <v>2500</v>
      </c>
      <c r="H35" s="144" t="s">
        <v>449</v>
      </c>
      <c r="I35" s="144" t="s">
        <v>449</v>
      </c>
      <c r="J35" s="146" t="s">
        <v>449</v>
      </c>
      <c r="K35" s="147" t="s">
        <v>2501</v>
      </c>
    </row>
    <row r="36" spans="2:11" ht="26.1" customHeight="1" x14ac:dyDescent="0.2">
      <c r="B36" s="142" t="s">
        <v>2502</v>
      </c>
      <c r="C36" s="143" t="s">
        <v>2503</v>
      </c>
      <c r="D36" s="144" t="s">
        <v>2492</v>
      </c>
      <c r="E36" s="151" t="s">
        <v>2493</v>
      </c>
      <c r="F36" s="146" t="s">
        <v>2504</v>
      </c>
      <c r="G36" s="146" t="s">
        <v>2488</v>
      </c>
      <c r="H36" s="144" t="s">
        <v>449</v>
      </c>
      <c r="I36" s="144" t="s">
        <v>449</v>
      </c>
      <c r="J36" s="146" t="s">
        <v>449</v>
      </c>
      <c r="K36" s="147" t="s">
        <v>2505</v>
      </c>
    </row>
    <row r="37" spans="2:11" ht="26.1" customHeight="1" x14ac:dyDescent="0.2">
      <c r="B37" s="142" t="s">
        <v>2506</v>
      </c>
      <c r="C37" s="143" t="s">
        <v>2507</v>
      </c>
      <c r="D37" s="144" t="s">
        <v>2492</v>
      </c>
      <c r="E37" s="151" t="s">
        <v>2493</v>
      </c>
      <c r="F37" s="146" t="s">
        <v>2508</v>
      </c>
      <c r="G37" s="146" t="s">
        <v>2488</v>
      </c>
      <c r="H37" s="144" t="s">
        <v>449</v>
      </c>
      <c r="I37" s="144" t="s">
        <v>449</v>
      </c>
      <c r="J37" s="146" t="s">
        <v>449</v>
      </c>
      <c r="K37" s="147" t="s">
        <v>2509</v>
      </c>
    </row>
    <row r="38" spans="2:11" ht="26.1" customHeight="1" x14ac:dyDescent="0.2">
      <c r="B38" s="142" t="s">
        <v>2510</v>
      </c>
      <c r="C38" s="143" t="s">
        <v>2511</v>
      </c>
      <c r="D38" s="144" t="s">
        <v>2492</v>
      </c>
      <c r="E38" s="151" t="s">
        <v>2493</v>
      </c>
      <c r="F38" s="146" t="s">
        <v>2512</v>
      </c>
      <c r="G38" s="146" t="s">
        <v>2488</v>
      </c>
      <c r="H38" s="144" t="s">
        <v>449</v>
      </c>
      <c r="I38" s="144" t="s">
        <v>449</v>
      </c>
      <c r="J38" s="146" t="s">
        <v>449</v>
      </c>
      <c r="K38" s="147" t="s">
        <v>2513</v>
      </c>
    </row>
    <row r="39" spans="2:11" ht="26.1" customHeight="1" x14ac:dyDescent="0.2">
      <c r="B39" s="152" t="s">
        <v>2514</v>
      </c>
      <c r="C39" s="153" t="s">
        <v>2515</v>
      </c>
      <c r="D39" s="154" t="s">
        <v>2492</v>
      </c>
      <c r="E39" s="155" t="s">
        <v>2493</v>
      </c>
      <c r="F39" s="156" t="s">
        <v>2516</v>
      </c>
      <c r="G39" s="156" t="s">
        <v>2488</v>
      </c>
      <c r="H39" s="154" t="s">
        <v>449</v>
      </c>
      <c r="I39" s="154" t="s">
        <v>449</v>
      </c>
      <c r="J39" s="156" t="s">
        <v>449</v>
      </c>
      <c r="K39" s="157" t="s">
        <v>2517</v>
      </c>
    </row>
    <row r="41" spans="2:11" x14ac:dyDescent="0.2">
      <c r="B41" s="484" t="s">
        <v>2518</v>
      </c>
      <c r="C41" s="416"/>
      <c r="D41" s="416"/>
      <c r="E41" s="416"/>
      <c r="F41" s="416"/>
      <c r="G41" s="416"/>
      <c r="H41" s="416"/>
      <c r="I41" s="416"/>
      <c r="J41" s="416"/>
      <c r="K41" s="416"/>
    </row>
    <row r="44" spans="2:11" x14ac:dyDescent="0.2">
      <c r="B44" s="257" t="s">
        <v>853</v>
      </c>
    </row>
  </sheetData>
  <autoFilter ref="B6:K39" xr:uid="{00000000-0009-0000-0000-000014000000}"/>
  <mergeCells count="3">
    <mergeCell ref="B4:K4"/>
    <mergeCell ref="B41:K41"/>
    <mergeCell ref="B2:K2"/>
  </mergeCell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6" customWidth="1"/>
    <col min="2" max="2" width="13.046875" style="396" customWidth="1"/>
    <col min="3" max="3" width="18.0234375" style="396" customWidth="1"/>
    <col min="4" max="9" width="9.01171875" style="396" customWidth="1"/>
    <col min="10" max="10" width="16.94921875" style="396" customWidth="1"/>
    <col min="11" max="11" width="18.0234375" style="396" customWidth="1"/>
  </cols>
  <sheetData>
    <row r="2" spans="2:11" ht="33.950000000000003" customHeight="1" x14ac:dyDescent="0.2">
      <c r="B2" s="485" t="s">
        <v>78</v>
      </c>
      <c r="C2" s="416"/>
      <c r="D2" s="416"/>
      <c r="E2" s="416"/>
      <c r="F2" s="416"/>
      <c r="G2" s="416"/>
      <c r="H2" s="416"/>
      <c r="I2" s="416"/>
      <c r="J2" s="416"/>
      <c r="K2" s="416"/>
    </row>
    <row r="3" spans="2:11" ht="3.95" customHeight="1" x14ac:dyDescent="0.2">
      <c r="B3" s="138"/>
      <c r="C3" s="138"/>
      <c r="D3" s="138"/>
      <c r="E3" s="138"/>
      <c r="F3" s="138"/>
      <c r="G3" s="138"/>
      <c r="H3" s="138"/>
      <c r="I3" s="138"/>
      <c r="J3" s="138"/>
      <c r="K3" s="138"/>
    </row>
    <row r="4" spans="2:11" ht="18" customHeight="1" x14ac:dyDescent="0.2">
      <c r="B4" s="483" t="s">
        <v>2519</v>
      </c>
      <c r="C4" s="416"/>
      <c r="D4" s="416"/>
      <c r="E4" s="416"/>
      <c r="F4" s="416"/>
      <c r="G4" s="416"/>
      <c r="H4" s="416"/>
      <c r="I4" s="416"/>
      <c r="J4" s="416"/>
      <c r="K4" s="416"/>
    </row>
    <row r="6" spans="2:11" ht="30" customHeight="1" x14ac:dyDescent="0.2">
      <c r="B6" s="139" t="s">
        <v>2340</v>
      </c>
      <c r="C6" s="140" t="s">
        <v>2520</v>
      </c>
      <c r="D6" s="140" t="s">
        <v>2521</v>
      </c>
      <c r="E6" s="140" t="s">
        <v>2522</v>
      </c>
      <c r="F6" s="140" t="s">
        <v>2523</v>
      </c>
      <c r="G6" s="140" t="s">
        <v>1880</v>
      </c>
      <c r="H6" s="140" t="s">
        <v>2524</v>
      </c>
      <c r="I6" s="140" t="s">
        <v>2525</v>
      </c>
      <c r="J6" s="140" t="s">
        <v>2526</v>
      </c>
      <c r="K6" s="141" t="s">
        <v>2527</v>
      </c>
    </row>
    <row r="7" spans="2:11" ht="21.95" customHeight="1" x14ac:dyDescent="0.2">
      <c r="B7" s="142" t="s">
        <v>2350</v>
      </c>
      <c r="C7" s="146" t="s">
        <v>2351</v>
      </c>
      <c r="D7" s="158">
        <v>9</v>
      </c>
      <c r="E7" s="158">
        <v>4</v>
      </c>
      <c r="F7" s="158">
        <v>8</v>
      </c>
      <c r="G7" s="158">
        <v>7</v>
      </c>
      <c r="H7" s="158">
        <v>5</v>
      </c>
      <c r="I7" s="159">
        <v>33</v>
      </c>
      <c r="J7" s="160" t="s">
        <v>2521</v>
      </c>
      <c r="K7" s="161" t="s">
        <v>2523</v>
      </c>
    </row>
    <row r="8" spans="2:11" ht="21.95" customHeight="1" x14ac:dyDescent="0.2">
      <c r="B8" s="142" t="s">
        <v>2360</v>
      </c>
      <c r="C8" s="146" t="s">
        <v>2361</v>
      </c>
      <c r="D8" s="158">
        <v>5</v>
      </c>
      <c r="E8" s="158">
        <v>9</v>
      </c>
      <c r="F8" s="158">
        <v>6</v>
      </c>
      <c r="G8" s="158">
        <v>6</v>
      </c>
      <c r="H8" s="158">
        <v>3</v>
      </c>
      <c r="I8" s="159">
        <v>29</v>
      </c>
      <c r="J8" s="160" t="s">
        <v>2522</v>
      </c>
      <c r="K8" s="161" t="s">
        <v>2523</v>
      </c>
    </row>
    <row r="9" spans="2:11" ht="21.95" customHeight="1" x14ac:dyDescent="0.2">
      <c r="B9" s="142" t="s">
        <v>2368</v>
      </c>
      <c r="C9" s="146" t="s">
        <v>2369</v>
      </c>
      <c r="D9" s="158">
        <v>10</v>
      </c>
      <c r="E9" s="158">
        <v>5</v>
      </c>
      <c r="F9" s="158">
        <v>9</v>
      </c>
      <c r="G9" s="158">
        <v>10</v>
      </c>
      <c r="H9" s="158">
        <v>4</v>
      </c>
      <c r="I9" s="159">
        <v>38</v>
      </c>
      <c r="J9" s="160" t="s">
        <v>2528</v>
      </c>
      <c r="K9" s="161" t="s">
        <v>2523</v>
      </c>
    </row>
    <row r="10" spans="2:11" ht="21.95" customHeight="1" x14ac:dyDescent="0.2">
      <c r="B10" s="142" t="s">
        <v>2376</v>
      </c>
      <c r="C10" s="146" t="s">
        <v>2377</v>
      </c>
      <c r="D10" s="158">
        <v>6</v>
      </c>
      <c r="E10" s="158">
        <v>5</v>
      </c>
      <c r="F10" s="158">
        <v>7</v>
      </c>
      <c r="G10" s="158">
        <v>8</v>
      </c>
      <c r="H10" s="158">
        <v>6</v>
      </c>
      <c r="I10" s="159">
        <v>32</v>
      </c>
      <c r="J10" s="160" t="s">
        <v>1880</v>
      </c>
      <c r="K10" s="161" t="s">
        <v>2523</v>
      </c>
    </row>
    <row r="11" spans="2:11" ht="21.95" customHeight="1" x14ac:dyDescent="0.2">
      <c r="B11" s="142" t="s">
        <v>2383</v>
      </c>
      <c r="C11" s="146" t="s">
        <v>2384</v>
      </c>
      <c r="D11" s="158">
        <v>0</v>
      </c>
      <c r="E11" s="158">
        <v>8</v>
      </c>
      <c r="F11" s="158">
        <v>10</v>
      </c>
      <c r="G11" s="158">
        <v>10</v>
      </c>
      <c r="H11" s="158">
        <v>7</v>
      </c>
      <c r="I11" s="159">
        <v>35</v>
      </c>
      <c r="J11" s="160" t="s">
        <v>2529</v>
      </c>
      <c r="K11" s="161" t="s">
        <v>2524</v>
      </c>
    </row>
    <row r="12" spans="2:11" ht="21.95" customHeight="1" x14ac:dyDescent="0.2">
      <c r="B12" s="142" t="s">
        <v>2390</v>
      </c>
      <c r="C12" s="146" t="s">
        <v>2391</v>
      </c>
      <c r="D12" s="158">
        <v>3</v>
      </c>
      <c r="E12" s="158">
        <v>2</v>
      </c>
      <c r="F12" s="158">
        <v>6</v>
      </c>
      <c r="G12" s="158">
        <v>4</v>
      </c>
      <c r="H12" s="158">
        <v>8</v>
      </c>
      <c r="I12" s="159">
        <v>23</v>
      </c>
      <c r="J12" s="160" t="s">
        <v>2524</v>
      </c>
      <c r="K12" s="161" t="s">
        <v>2523</v>
      </c>
    </row>
    <row r="13" spans="2:11" ht="21.95" customHeight="1" x14ac:dyDescent="0.2">
      <c r="B13" s="152" t="s">
        <v>2396</v>
      </c>
      <c r="C13" s="156" t="s">
        <v>2397</v>
      </c>
      <c r="D13" s="162">
        <v>10</v>
      </c>
      <c r="E13" s="162">
        <v>6</v>
      </c>
      <c r="F13" s="162">
        <v>9</v>
      </c>
      <c r="G13" s="162">
        <v>8</v>
      </c>
      <c r="H13" s="162">
        <v>10</v>
      </c>
      <c r="I13" s="163">
        <v>43</v>
      </c>
      <c r="J13" s="164" t="s">
        <v>2530</v>
      </c>
      <c r="K13" s="165" t="s">
        <v>2523</v>
      </c>
    </row>
    <row r="15" spans="2:11" ht="15.95" customHeight="1" x14ac:dyDescent="0.2">
      <c r="B15" s="486" t="s">
        <v>2531</v>
      </c>
      <c r="C15" s="416"/>
      <c r="D15" s="416"/>
      <c r="E15" s="416"/>
      <c r="F15" s="416"/>
      <c r="G15" s="416"/>
      <c r="H15" s="416"/>
      <c r="I15" s="416"/>
      <c r="J15" s="416"/>
      <c r="K15" s="416"/>
    </row>
    <row r="16" spans="2:11" ht="15.95" customHeight="1" x14ac:dyDescent="0.2">
      <c r="B16" s="416"/>
      <c r="C16" s="416"/>
      <c r="D16" s="416"/>
      <c r="E16" s="416"/>
      <c r="F16" s="416"/>
      <c r="G16" s="416"/>
      <c r="H16" s="416"/>
      <c r="I16" s="416"/>
      <c r="J16" s="416"/>
      <c r="K16" s="416"/>
    </row>
    <row r="19" spans="2:2" x14ac:dyDescent="0.2">
      <c r="B19" s="257" t="s">
        <v>853</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6" customWidth="1"/>
    <col min="2" max="2" width="16.0078125" style="396" customWidth="1"/>
    <col min="3" max="3" width="11.97265625" style="396" customWidth="1"/>
    <col min="4" max="4" width="16.0078125" style="396" customWidth="1"/>
    <col min="5" max="5" width="20.04296875" style="396" customWidth="1"/>
    <col min="6" max="6" width="43.98828125" style="396" customWidth="1"/>
    <col min="7" max="7" width="29.99609375" style="396" customWidth="1"/>
    <col min="8" max="8" width="14.9296875" style="396" customWidth="1"/>
  </cols>
  <sheetData>
    <row r="2" spans="2:8" ht="33.950000000000003" customHeight="1" x14ac:dyDescent="0.2">
      <c r="B2" s="485" t="s">
        <v>81</v>
      </c>
      <c r="C2" s="416"/>
      <c r="D2" s="416"/>
      <c r="E2" s="416"/>
      <c r="F2" s="416"/>
      <c r="G2" s="416"/>
      <c r="H2" s="416"/>
    </row>
    <row r="3" spans="2:8" ht="3.95" customHeight="1" x14ac:dyDescent="0.2">
      <c r="B3" s="138"/>
      <c r="C3" s="138"/>
      <c r="D3" s="138"/>
      <c r="E3" s="138"/>
      <c r="F3" s="138"/>
      <c r="G3" s="138"/>
      <c r="H3" s="138"/>
    </row>
    <row r="4" spans="2:8" ht="18" customHeight="1" x14ac:dyDescent="0.2">
      <c r="B4" s="483" t="s">
        <v>2532</v>
      </c>
      <c r="C4" s="416"/>
      <c r="D4" s="416"/>
      <c r="E4" s="416"/>
      <c r="F4" s="416"/>
      <c r="G4" s="416"/>
      <c r="H4" s="416"/>
    </row>
    <row r="6" spans="2:8" ht="30" customHeight="1" x14ac:dyDescent="0.2">
      <c r="B6" s="139" t="s">
        <v>2345</v>
      </c>
      <c r="C6" s="140" t="s">
        <v>2533</v>
      </c>
      <c r="D6" s="140" t="s">
        <v>2347</v>
      </c>
      <c r="E6" s="140" t="s">
        <v>2534</v>
      </c>
      <c r="F6" s="140" t="s">
        <v>2535</v>
      </c>
      <c r="G6" s="140" t="s">
        <v>2536</v>
      </c>
      <c r="H6" s="141" t="s">
        <v>2537</v>
      </c>
    </row>
    <row r="7" spans="2:8" ht="30" customHeight="1" x14ac:dyDescent="0.2">
      <c r="B7" s="142" t="s">
        <v>2355</v>
      </c>
      <c r="C7" s="144" t="s">
        <v>2356</v>
      </c>
      <c r="D7" s="144" t="s">
        <v>2357</v>
      </c>
      <c r="E7" s="166" t="s">
        <v>2538</v>
      </c>
      <c r="F7" s="146" t="s">
        <v>2539</v>
      </c>
      <c r="G7" s="146" t="s">
        <v>2351</v>
      </c>
      <c r="H7" s="167">
        <v>1</v>
      </c>
    </row>
    <row r="8" spans="2:8" ht="30" customHeight="1" x14ac:dyDescent="0.2">
      <c r="B8" s="142" t="s">
        <v>2363</v>
      </c>
      <c r="C8" s="144" t="s">
        <v>2364</v>
      </c>
      <c r="D8" s="144" t="s">
        <v>2365</v>
      </c>
      <c r="E8" s="166" t="s">
        <v>2540</v>
      </c>
      <c r="F8" s="146" t="s">
        <v>2541</v>
      </c>
      <c r="G8" s="146" t="s">
        <v>2542</v>
      </c>
      <c r="H8" s="168">
        <v>15</v>
      </c>
    </row>
    <row r="9" spans="2:8" ht="30" customHeight="1" x14ac:dyDescent="0.2">
      <c r="B9" s="142" t="s">
        <v>2371</v>
      </c>
      <c r="C9" s="144" t="s">
        <v>2372</v>
      </c>
      <c r="D9" s="144" t="s">
        <v>2373</v>
      </c>
      <c r="E9" s="166" t="s">
        <v>2543</v>
      </c>
      <c r="F9" s="146" t="s">
        <v>2544</v>
      </c>
      <c r="G9" s="146" t="s">
        <v>2369</v>
      </c>
      <c r="H9" s="167">
        <v>1</v>
      </c>
    </row>
    <row r="10" spans="2:8" ht="30" customHeight="1" x14ac:dyDescent="0.2">
      <c r="B10" s="142" t="s">
        <v>2379</v>
      </c>
      <c r="C10" s="144" t="s">
        <v>2380</v>
      </c>
      <c r="D10" s="144" t="s">
        <v>1189</v>
      </c>
      <c r="E10" s="166" t="s">
        <v>2545</v>
      </c>
      <c r="F10" s="146" t="s">
        <v>2546</v>
      </c>
      <c r="G10" s="146" t="s">
        <v>2377</v>
      </c>
      <c r="H10" s="167">
        <v>1</v>
      </c>
    </row>
    <row r="11" spans="2:8" ht="30" customHeight="1" x14ac:dyDescent="0.2">
      <c r="B11" s="142" t="s">
        <v>2386</v>
      </c>
      <c r="C11" s="144" t="s">
        <v>2387</v>
      </c>
      <c r="D11" s="144" t="s">
        <v>2388</v>
      </c>
      <c r="E11" s="166" t="s">
        <v>2547</v>
      </c>
      <c r="F11" s="146" t="s">
        <v>2548</v>
      </c>
      <c r="G11" s="146" t="s">
        <v>2384</v>
      </c>
      <c r="H11" s="167">
        <v>1</v>
      </c>
    </row>
    <row r="12" spans="2:8" ht="30" customHeight="1" x14ac:dyDescent="0.2">
      <c r="B12" s="142" t="s">
        <v>2393</v>
      </c>
      <c r="C12" s="144" t="s">
        <v>449</v>
      </c>
      <c r="D12" s="144" t="s">
        <v>449</v>
      </c>
      <c r="E12" s="166" t="s">
        <v>2549</v>
      </c>
      <c r="F12" s="146" t="s">
        <v>2550</v>
      </c>
      <c r="G12" s="146" t="s">
        <v>2391</v>
      </c>
      <c r="H12" s="167">
        <v>1</v>
      </c>
    </row>
    <row r="13" spans="2:8" ht="30" customHeight="1" x14ac:dyDescent="0.2">
      <c r="B13" s="142" t="s">
        <v>2399</v>
      </c>
      <c r="C13" s="144" t="s">
        <v>449</v>
      </c>
      <c r="D13" s="144" t="s">
        <v>449</v>
      </c>
      <c r="E13" s="166" t="s">
        <v>2551</v>
      </c>
      <c r="F13" s="146" t="s">
        <v>2552</v>
      </c>
      <c r="G13" s="146" t="s">
        <v>2397</v>
      </c>
      <c r="H13" s="167">
        <v>1</v>
      </c>
    </row>
    <row r="14" spans="2:8" ht="30" customHeight="1" x14ac:dyDescent="0.2">
      <c r="B14" s="152" t="s">
        <v>2463</v>
      </c>
      <c r="C14" s="154" t="s">
        <v>449</v>
      </c>
      <c r="D14" s="154" t="s">
        <v>449</v>
      </c>
      <c r="E14" s="169" t="s">
        <v>2553</v>
      </c>
      <c r="F14" s="156" t="s">
        <v>2554</v>
      </c>
      <c r="G14" s="156" t="s">
        <v>2555</v>
      </c>
      <c r="H14" s="170">
        <v>3</v>
      </c>
    </row>
    <row r="16" spans="2:8" x14ac:dyDescent="0.2">
      <c r="B16" s="484" t="s">
        <v>2556</v>
      </c>
      <c r="C16" s="416"/>
      <c r="D16" s="416"/>
      <c r="E16" s="416"/>
      <c r="F16" s="416"/>
      <c r="G16" s="416"/>
      <c r="H16" s="416"/>
    </row>
    <row r="19" spans="2:2" x14ac:dyDescent="0.2">
      <c r="B19" s="257" t="s">
        <v>853</v>
      </c>
    </row>
  </sheetData>
  <mergeCells count="3">
    <mergeCell ref="B16:H16"/>
    <mergeCell ref="B2:H2"/>
    <mergeCell ref="B4:H4"/>
  </mergeCell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396" customWidth="1"/>
    <col min="2" max="2" width="16.0078125" style="396" customWidth="1"/>
    <col min="3" max="4" width="13.046875" style="396" customWidth="1"/>
    <col min="5" max="6" width="34.03125" style="396" customWidth="1"/>
  </cols>
  <sheetData>
    <row r="2" spans="2:7" ht="33.950000000000003" customHeight="1" x14ac:dyDescent="0.2">
      <c r="B2" s="485" t="s">
        <v>84</v>
      </c>
      <c r="C2" s="416"/>
      <c r="D2" s="416"/>
      <c r="E2" s="416"/>
      <c r="F2" s="416"/>
      <c r="G2" s="416"/>
    </row>
    <row r="3" spans="2:7" ht="3.95" customHeight="1" x14ac:dyDescent="0.2">
      <c r="B3" s="138"/>
      <c r="C3" s="138"/>
      <c r="D3" s="138"/>
      <c r="E3" s="138"/>
      <c r="F3" s="138"/>
      <c r="G3" s="138"/>
    </row>
    <row r="4" spans="2:7" ht="18" customHeight="1" x14ac:dyDescent="0.2">
      <c r="B4" s="483" t="s">
        <v>2557</v>
      </c>
      <c r="C4" s="416"/>
      <c r="D4" s="416"/>
      <c r="E4" s="416"/>
      <c r="F4" s="416"/>
      <c r="G4" s="416"/>
    </row>
    <row r="6" spans="2:7" ht="24" customHeight="1" x14ac:dyDescent="0.2">
      <c r="B6" s="488" t="s">
        <v>2558</v>
      </c>
      <c r="C6" s="416"/>
      <c r="D6" s="416"/>
      <c r="E6" s="416"/>
      <c r="F6" s="416"/>
      <c r="G6" s="416"/>
    </row>
    <row r="7" spans="2:7" ht="20.100000000000001" customHeight="1" x14ac:dyDescent="0.2">
      <c r="B7" s="487" t="s">
        <v>2559</v>
      </c>
      <c r="C7" s="416"/>
      <c r="D7" s="416"/>
      <c r="E7" s="416"/>
      <c r="F7" s="416"/>
      <c r="G7" s="416"/>
    </row>
    <row r="8" spans="2:7" ht="20.100000000000001" customHeight="1" x14ac:dyDescent="0.2">
      <c r="B8" s="487" t="s">
        <v>2560</v>
      </c>
      <c r="C8" s="416"/>
      <c r="D8" s="416"/>
      <c r="E8" s="416"/>
      <c r="F8" s="416"/>
      <c r="G8" s="416"/>
    </row>
    <row r="9" spans="2:7" ht="20.100000000000001" customHeight="1" x14ac:dyDescent="0.2">
      <c r="B9" s="487" t="s">
        <v>2561</v>
      </c>
      <c r="C9" s="416"/>
      <c r="D9" s="416"/>
      <c r="E9" s="416"/>
      <c r="F9" s="416"/>
      <c r="G9" s="416"/>
    </row>
    <row r="11" spans="2:7" ht="24" customHeight="1" x14ac:dyDescent="0.2">
      <c r="B11" s="488" t="s">
        <v>2562</v>
      </c>
      <c r="C11" s="416"/>
      <c r="D11" s="416"/>
      <c r="E11" s="416"/>
      <c r="F11" s="416"/>
      <c r="G11" s="416"/>
    </row>
    <row r="12" spans="2:7" ht="27.95" customHeight="1" x14ac:dyDescent="0.2">
      <c r="B12" s="139" t="s">
        <v>2342</v>
      </c>
      <c r="C12" s="140" t="s">
        <v>2343</v>
      </c>
      <c r="D12" s="140" t="s">
        <v>2209</v>
      </c>
      <c r="E12" s="140" t="s">
        <v>2563</v>
      </c>
      <c r="F12" s="141" t="s">
        <v>2564</v>
      </c>
    </row>
    <row r="13" spans="2:7" ht="24" customHeight="1" x14ac:dyDescent="0.2">
      <c r="B13" s="142" t="s">
        <v>2565</v>
      </c>
      <c r="C13" s="145" t="s">
        <v>2353</v>
      </c>
      <c r="D13" s="158">
        <v>7</v>
      </c>
      <c r="E13" s="146" t="s">
        <v>2566</v>
      </c>
      <c r="F13" s="147" t="s">
        <v>2567</v>
      </c>
    </row>
    <row r="14" spans="2:7" ht="24" customHeight="1" x14ac:dyDescent="0.2">
      <c r="B14" s="142" t="s">
        <v>2568</v>
      </c>
      <c r="C14" s="148" t="s">
        <v>2404</v>
      </c>
      <c r="D14" s="158">
        <v>14</v>
      </c>
      <c r="E14" s="146" t="s">
        <v>2569</v>
      </c>
      <c r="F14" s="147" t="s">
        <v>2570</v>
      </c>
    </row>
    <row r="15" spans="2:7" ht="24" customHeight="1" x14ac:dyDescent="0.2">
      <c r="B15" s="142" t="s">
        <v>2571</v>
      </c>
      <c r="C15" s="149" t="s">
        <v>2461</v>
      </c>
      <c r="D15" s="158">
        <v>3</v>
      </c>
      <c r="E15" s="146" t="s">
        <v>2572</v>
      </c>
      <c r="F15" s="147" t="s">
        <v>2573</v>
      </c>
    </row>
    <row r="16" spans="2:7" ht="24" customHeight="1" x14ac:dyDescent="0.2">
      <c r="B16" s="142" t="s">
        <v>2476</v>
      </c>
      <c r="C16" s="150" t="s">
        <v>2477</v>
      </c>
      <c r="D16" s="158">
        <v>3</v>
      </c>
      <c r="E16" s="146" t="s">
        <v>2574</v>
      </c>
      <c r="F16" s="147" t="s">
        <v>2573</v>
      </c>
    </row>
    <row r="17" spans="2:7" ht="24" customHeight="1" x14ac:dyDescent="0.2">
      <c r="B17" s="152" t="s">
        <v>2575</v>
      </c>
      <c r="C17" s="155" t="s">
        <v>2493</v>
      </c>
      <c r="D17" s="162">
        <v>6</v>
      </c>
      <c r="E17" s="156" t="s">
        <v>2576</v>
      </c>
      <c r="F17" s="157" t="s">
        <v>2577</v>
      </c>
    </row>
    <row r="19" spans="2:7" ht="24" customHeight="1" x14ac:dyDescent="0.2">
      <c r="B19" s="488" t="s">
        <v>2578</v>
      </c>
      <c r="C19" s="416"/>
      <c r="D19" s="416"/>
      <c r="E19" s="416"/>
      <c r="F19" s="416"/>
      <c r="G19" s="416"/>
    </row>
    <row r="20" spans="2:7" ht="20.100000000000001" customHeight="1" x14ac:dyDescent="0.2">
      <c r="B20" s="487" t="s">
        <v>2579</v>
      </c>
      <c r="C20" s="416"/>
      <c r="D20" s="416"/>
      <c r="E20" s="416"/>
      <c r="F20" s="416"/>
      <c r="G20" s="416"/>
    </row>
    <row r="21" spans="2:7" ht="20.100000000000001" customHeight="1" x14ac:dyDescent="0.2">
      <c r="B21" s="487" t="s">
        <v>2580</v>
      </c>
      <c r="C21" s="416"/>
      <c r="D21" s="416"/>
      <c r="E21" s="416"/>
      <c r="F21" s="416"/>
      <c r="G21" s="416"/>
    </row>
    <row r="22" spans="2:7" ht="20.100000000000001" customHeight="1" x14ac:dyDescent="0.2">
      <c r="B22" s="487" t="s">
        <v>2581</v>
      </c>
      <c r="C22" s="416"/>
      <c r="D22" s="416"/>
      <c r="E22" s="416"/>
      <c r="F22" s="416"/>
      <c r="G22" s="416"/>
    </row>
    <row r="24" spans="2:7" ht="24" customHeight="1" x14ac:dyDescent="0.2">
      <c r="B24" s="488" t="s">
        <v>2582</v>
      </c>
      <c r="C24" s="416"/>
      <c r="D24" s="416"/>
      <c r="E24" s="416"/>
      <c r="F24" s="416"/>
      <c r="G24" s="416"/>
    </row>
    <row r="25" spans="2:7" ht="20.100000000000001" customHeight="1" x14ac:dyDescent="0.2">
      <c r="B25" s="487" t="s">
        <v>2583</v>
      </c>
      <c r="C25" s="416"/>
      <c r="D25" s="416"/>
      <c r="E25" s="416"/>
      <c r="F25" s="416"/>
      <c r="G25" s="416"/>
    </row>
    <row r="26" spans="2:7" ht="20.100000000000001" customHeight="1" x14ac:dyDescent="0.2">
      <c r="B26" s="487" t="s">
        <v>2584</v>
      </c>
      <c r="C26" s="416"/>
      <c r="D26" s="416"/>
      <c r="E26" s="416"/>
      <c r="F26" s="416"/>
      <c r="G26" s="416"/>
    </row>
    <row r="27" spans="2:7" ht="20.100000000000001" customHeight="1" x14ac:dyDescent="0.2">
      <c r="B27" s="487" t="s">
        <v>2585</v>
      </c>
      <c r="C27" s="416"/>
      <c r="D27" s="416"/>
      <c r="E27" s="416"/>
      <c r="F27" s="416"/>
      <c r="G27" s="416"/>
    </row>
    <row r="28" spans="2:7" ht="20.100000000000001" customHeight="1" x14ac:dyDescent="0.2">
      <c r="B28" s="487" t="s">
        <v>2586</v>
      </c>
      <c r="C28" s="416"/>
      <c r="D28" s="416"/>
      <c r="E28" s="416"/>
      <c r="F28" s="416"/>
      <c r="G28" s="416"/>
    </row>
    <row r="30" spans="2:7" ht="24" customHeight="1" x14ac:dyDescent="0.2">
      <c r="B30" s="488" t="s">
        <v>2587</v>
      </c>
      <c r="C30" s="416"/>
      <c r="D30" s="416"/>
      <c r="E30" s="416"/>
      <c r="F30" s="416"/>
      <c r="G30" s="416"/>
    </row>
    <row r="31" spans="2:7" ht="20.100000000000001" customHeight="1" x14ac:dyDescent="0.2">
      <c r="B31" s="487" t="s">
        <v>2588</v>
      </c>
      <c r="C31" s="416"/>
      <c r="D31" s="416"/>
      <c r="E31" s="416"/>
      <c r="F31" s="416"/>
      <c r="G31" s="416"/>
    </row>
    <row r="32" spans="2:7" ht="20.100000000000001" customHeight="1" x14ac:dyDescent="0.2">
      <c r="B32" s="487" t="s">
        <v>2589</v>
      </c>
      <c r="C32" s="416"/>
      <c r="D32" s="416"/>
      <c r="E32" s="416"/>
      <c r="F32" s="416"/>
      <c r="G32" s="416"/>
    </row>
    <row r="33" spans="2:7" ht="20.100000000000001" customHeight="1" x14ac:dyDescent="0.2">
      <c r="B33" s="487" t="s">
        <v>2590</v>
      </c>
      <c r="C33" s="416"/>
      <c r="D33" s="416"/>
      <c r="E33" s="416"/>
      <c r="F33" s="416"/>
      <c r="G33" s="416"/>
    </row>
    <row r="36" spans="2:7" x14ac:dyDescent="0.2">
      <c r="B36" s="257" t="s">
        <v>853</v>
      </c>
    </row>
  </sheetData>
  <mergeCells count="20">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 ref="B2:G2"/>
    <mergeCell ref="B8:G8"/>
    <mergeCell ref="B19:G19"/>
    <mergeCell ref="B28:G28"/>
    <mergeCell ref="B9:G9"/>
    <mergeCell ref="B4:G4"/>
  </mergeCells>
  <pageMargins left="0.75" right="0.75" top="1" bottom="1" header="0.5" footer="0.5"/>
  <pageSetup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E23"/>
  <sheetViews>
    <sheetView showGridLines="0" workbookViewId="0"/>
  </sheetViews>
  <sheetFormatPr defaultRowHeight="15" x14ac:dyDescent="0.2"/>
  <cols>
    <col min="1" max="1" width="2.95703125" style="396" customWidth="1"/>
    <col min="2" max="3" width="25.01953125" style="396" customWidth="1"/>
    <col min="4" max="4" width="50.04296875" style="396" customWidth="1"/>
    <col min="5" max="5" width="20.04296875" style="396" customWidth="1"/>
  </cols>
  <sheetData>
    <row r="2" spans="2:5" ht="22.5" customHeight="1" x14ac:dyDescent="0.25">
      <c r="B2" s="171" t="s">
        <v>2591</v>
      </c>
    </row>
    <row r="4" spans="2:5" ht="16.5" customHeight="1" x14ac:dyDescent="0.2">
      <c r="B4" s="172" t="s">
        <v>2592</v>
      </c>
    </row>
    <row r="5" spans="2:5" x14ac:dyDescent="0.2">
      <c r="B5" s="173" t="s">
        <v>2593</v>
      </c>
      <c r="C5" s="173" t="s">
        <v>2594</v>
      </c>
      <c r="D5" s="173" t="s">
        <v>2595</v>
      </c>
      <c r="E5" s="173" t="s">
        <v>2596</v>
      </c>
    </row>
    <row r="6" spans="2:5" x14ac:dyDescent="0.2">
      <c r="B6" s="174" t="s">
        <v>2597</v>
      </c>
      <c r="C6" s="174" t="s">
        <v>2598</v>
      </c>
      <c r="D6" s="174" t="s">
        <v>2599</v>
      </c>
      <c r="E6" s="174" t="s">
        <v>2600</v>
      </c>
    </row>
    <row r="7" spans="2:5" x14ac:dyDescent="0.2">
      <c r="B7" s="174" t="s">
        <v>2601</v>
      </c>
      <c r="C7" s="174" t="s">
        <v>2602</v>
      </c>
      <c r="D7" s="174" t="s">
        <v>2603</v>
      </c>
      <c r="E7" s="174" t="s">
        <v>2600</v>
      </c>
    </row>
    <row r="8" spans="2:5" x14ac:dyDescent="0.2">
      <c r="B8" s="174" t="s">
        <v>2604</v>
      </c>
      <c r="C8" s="174" t="s">
        <v>2605</v>
      </c>
      <c r="D8" s="174" t="s">
        <v>2606</v>
      </c>
      <c r="E8" s="174" t="s">
        <v>2600</v>
      </c>
    </row>
    <row r="9" spans="2:5" x14ac:dyDescent="0.2">
      <c r="B9" s="174" t="s">
        <v>2607</v>
      </c>
      <c r="C9" s="174" t="s">
        <v>2608</v>
      </c>
      <c r="D9" s="174" t="s">
        <v>2609</v>
      </c>
      <c r="E9" s="174" t="s">
        <v>2600</v>
      </c>
    </row>
    <row r="10" spans="2:5" x14ac:dyDescent="0.2">
      <c r="B10" s="174" t="s">
        <v>2610</v>
      </c>
      <c r="C10" s="174" t="s">
        <v>2611</v>
      </c>
      <c r="D10" s="174" t="s">
        <v>2612</v>
      </c>
      <c r="E10" s="174" t="s">
        <v>2600</v>
      </c>
    </row>
    <row r="11" spans="2:5" x14ac:dyDescent="0.2">
      <c r="B11" s="174" t="s">
        <v>2613</v>
      </c>
      <c r="C11" s="174" t="s">
        <v>2614</v>
      </c>
      <c r="D11" s="174" t="s">
        <v>2615</v>
      </c>
      <c r="E11" s="174" t="s">
        <v>2600</v>
      </c>
    </row>
    <row r="14" spans="2:5" ht="16.5" customHeight="1" x14ac:dyDescent="0.2">
      <c r="B14" s="172" t="s">
        <v>2616</v>
      </c>
    </row>
    <row r="15" spans="2:5" x14ac:dyDescent="0.2">
      <c r="B15" s="173" t="s">
        <v>2533</v>
      </c>
      <c r="C15" s="173" t="s">
        <v>2617</v>
      </c>
      <c r="D15" s="173" t="s">
        <v>2618</v>
      </c>
      <c r="E15" s="173" t="s">
        <v>2619</v>
      </c>
    </row>
    <row r="16" spans="2:5" x14ac:dyDescent="0.2">
      <c r="B16" s="174" t="s">
        <v>2380</v>
      </c>
      <c r="C16" s="174" t="s">
        <v>2620</v>
      </c>
      <c r="D16" s="174" t="s">
        <v>2621</v>
      </c>
      <c r="E16" s="174" t="s">
        <v>2622</v>
      </c>
    </row>
    <row r="17" spans="2:5" x14ac:dyDescent="0.2">
      <c r="B17" s="174" t="s">
        <v>2372</v>
      </c>
      <c r="C17" s="174" t="s">
        <v>2623</v>
      </c>
      <c r="D17" s="174" t="s">
        <v>2624</v>
      </c>
      <c r="E17" s="174" t="s">
        <v>2621</v>
      </c>
    </row>
    <row r="18" spans="2:5" x14ac:dyDescent="0.2">
      <c r="B18" s="174" t="s">
        <v>2364</v>
      </c>
      <c r="C18" s="174" t="s">
        <v>2623</v>
      </c>
      <c r="D18" s="174" t="s">
        <v>2625</v>
      </c>
      <c r="E18" s="174" t="s">
        <v>2622</v>
      </c>
    </row>
    <row r="19" spans="2:5" x14ac:dyDescent="0.2">
      <c r="B19" s="174" t="s">
        <v>2356</v>
      </c>
      <c r="C19" s="174" t="s">
        <v>2624</v>
      </c>
      <c r="D19" s="174" t="s">
        <v>2625</v>
      </c>
      <c r="E19" s="174" t="s">
        <v>2621</v>
      </c>
    </row>
    <row r="20" spans="2:5" x14ac:dyDescent="0.2">
      <c r="B20" s="174" t="s">
        <v>2387</v>
      </c>
      <c r="C20" s="174" t="s">
        <v>2621</v>
      </c>
      <c r="D20" s="174" t="s">
        <v>2620</v>
      </c>
      <c r="E20" s="174" t="s">
        <v>2623</v>
      </c>
    </row>
    <row r="23" spans="2:5" x14ac:dyDescent="0.2">
      <c r="B23" s="257" t="s">
        <v>853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F30"/>
  <sheetViews>
    <sheetView showGridLines="0" workbookViewId="0"/>
  </sheetViews>
  <sheetFormatPr defaultRowHeight="15" x14ac:dyDescent="0.2"/>
  <cols>
    <col min="1" max="1" width="2.95703125" style="396" customWidth="1"/>
    <col min="2" max="5" width="25.01953125" style="396" customWidth="1"/>
    <col min="6" max="6" width="34.97265625" style="396" customWidth="1"/>
  </cols>
  <sheetData>
    <row r="2" spans="2:6" ht="22.5" customHeight="1" x14ac:dyDescent="0.25">
      <c r="B2" s="171" t="s">
        <v>2626</v>
      </c>
    </row>
    <row r="4" spans="2:6" ht="16.5" customHeight="1" x14ac:dyDescent="0.2">
      <c r="B4" s="172" t="s">
        <v>2627</v>
      </c>
    </row>
    <row r="5" spans="2:6" x14ac:dyDescent="0.2">
      <c r="B5" s="173" t="s">
        <v>2628</v>
      </c>
      <c r="C5" s="173" t="s">
        <v>2347</v>
      </c>
      <c r="D5" s="173" t="s">
        <v>2629</v>
      </c>
      <c r="E5" s="173" t="s">
        <v>2630</v>
      </c>
      <c r="F5" s="173" t="s">
        <v>2631</v>
      </c>
    </row>
    <row r="6" spans="2:6" x14ac:dyDescent="0.2">
      <c r="B6" s="174" t="s">
        <v>2351</v>
      </c>
      <c r="C6" s="174" t="s">
        <v>2357</v>
      </c>
      <c r="D6" s="174" t="s">
        <v>2632</v>
      </c>
      <c r="E6" s="174" t="s">
        <v>2633</v>
      </c>
      <c r="F6" s="174" t="s">
        <v>2634</v>
      </c>
    </row>
    <row r="7" spans="2:6" x14ac:dyDescent="0.2">
      <c r="B7" s="174" t="s">
        <v>2361</v>
      </c>
      <c r="C7" s="174" t="s">
        <v>2365</v>
      </c>
      <c r="D7" s="174" t="s">
        <v>2635</v>
      </c>
      <c r="E7" s="174" t="s">
        <v>2636</v>
      </c>
      <c r="F7" s="174" t="s">
        <v>2634</v>
      </c>
    </row>
    <row r="8" spans="2:6" x14ac:dyDescent="0.2">
      <c r="B8" s="174" t="s">
        <v>2369</v>
      </c>
      <c r="C8" s="174" t="s">
        <v>2373</v>
      </c>
      <c r="D8" s="174" t="s">
        <v>2637</v>
      </c>
      <c r="E8" s="174" t="s">
        <v>2638</v>
      </c>
      <c r="F8" s="174" t="s">
        <v>2634</v>
      </c>
    </row>
    <row r="9" spans="2:6" x14ac:dyDescent="0.2">
      <c r="B9" s="174" t="s">
        <v>2639</v>
      </c>
      <c r="C9" s="174" t="s">
        <v>1189</v>
      </c>
      <c r="D9" s="174" t="s">
        <v>2640</v>
      </c>
      <c r="E9" s="174" t="s">
        <v>2641</v>
      </c>
      <c r="F9" s="174" t="s">
        <v>2634</v>
      </c>
    </row>
    <row r="10" spans="2:6" x14ac:dyDescent="0.2">
      <c r="B10" s="174" t="s">
        <v>2642</v>
      </c>
      <c r="C10" s="174" t="s">
        <v>2388</v>
      </c>
      <c r="D10" s="174" t="s">
        <v>2643</v>
      </c>
      <c r="E10" s="174" t="s">
        <v>2644</v>
      </c>
      <c r="F10" s="174" t="s">
        <v>2634</v>
      </c>
    </row>
    <row r="12" spans="2:6" x14ac:dyDescent="0.2">
      <c r="B12" s="175" t="s">
        <v>2645</v>
      </c>
    </row>
    <row r="14" spans="2:6" ht="16.5" customHeight="1" x14ac:dyDescent="0.2">
      <c r="B14" s="172" t="s">
        <v>2646</v>
      </c>
    </row>
    <row r="15" spans="2:6" x14ac:dyDescent="0.2">
      <c r="B15" s="173" t="s">
        <v>2647</v>
      </c>
      <c r="C15" s="173" t="s">
        <v>1435</v>
      </c>
      <c r="D15" s="173" t="s">
        <v>1700</v>
      </c>
      <c r="E15" s="173" t="s">
        <v>2039</v>
      </c>
    </row>
    <row r="16" spans="2:6" x14ac:dyDescent="0.2">
      <c r="B16" s="174" t="s">
        <v>2648</v>
      </c>
      <c r="C16" s="174" t="s">
        <v>2649</v>
      </c>
      <c r="D16" s="174" t="s">
        <v>1439</v>
      </c>
      <c r="E16" s="174" t="s">
        <v>2650</v>
      </c>
    </row>
    <row r="17" spans="2:5" x14ac:dyDescent="0.2">
      <c r="B17" s="174" t="s">
        <v>2651</v>
      </c>
      <c r="C17" s="174" t="s">
        <v>2652</v>
      </c>
      <c r="D17" s="174" t="s">
        <v>1710</v>
      </c>
      <c r="E17" s="174" t="s">
        <v>2653</v>
      </c>
    </row>
    <row r="18" spans="2:5" x14ac:dyDescent="0.2">
      <c r="B18" s="174" t="s">
        <v>2654</v>
      </c>
      <c r="C18" s="174" t="s">
        <v>1810</v>
      </c>
      <c r="D18" s="174" t="s">
        <v>2655</v>
      </c>
      <c r="E18" s="174" t="s">
        <v>2656</v>
      </c>
    </row>
    <row r="19" spans="2:5" x14ac:dyDescent="0.2">
      <c r="B19" s="174" t="s">
        <v>2657</v>
      </c>
      <c r="C19" s="174" t="s">
        <v>2394</v>
      </c>
      <c r="D19" s="174" t="s">
        <v>2658</v>
      </c>
      <c r="E19" s="174" t="s">
        <v>2659</v>
      </c>
    </row>
    <row r="20" spans="2:5" x14ac:dyDescent="0.2">
      <c r="B20" s="174" t="s">
        <v>2660</v>
      </c>
      <c r="C20" s="174" t="s">
        <v>1824</v>
      </c>
      <c r="D20" s="174" t="s">
        <v>2661</v>
      </c>
      <c r="E20" s="174" t="s">
        <v>2662</v>
      </c>
    </row>
    <row r="21" spans="2:5" x14ac:dyDescent="0.2">
      <c r="B21" s="174" t="s">
        <v>2663</v>
      </c>
      <c r="C21" s="174" t="s">
        <v>1834</v>
      </c>
      <c r="D21" s="174" t="s">
        <v>2664</v>
      </c>
      <c r="E21" s="174" t="s">
        <v>2665</v>
      </c>
    </row>
    <row r="22" spans="2:5" x14ac:dyDescent="0.2">
      <c r="B22" s="174" t="s">
        <v>2666</v>
      </c>
      <c r="C22" s="174" t="s">
        <v>1812</v>
      </c>
      <c r="D22" s="174" t="s">
        <v>2667</v>
      </c>
      <c r="E22" s="174" t="s">
        <v>2668</v>
      </c>
    </row>
    <row r="23" spans="2:5" x14ac:dyDescent="0.2">
      <c r="B23" s="174" t="s">
        <v>2669</v>
      </c>
      <c r="C23" s="174" t="s">
        <v>1822</v>
      </c>
      <c r="D23" s="174" t="s">
        <v>2670</v>
      </c>
      <c r="E23" s="174" t="s">
        <v>2671</v>
      </c>
    </row>
    <row r="24" spans="2:5" x14ac:dyDescent="0.2">
      <c r="B24" s="174" t="s">
        <v>2672</v>
      </c>
      <c r="C24" s="174" t="s">
        <v>1816</v>
      </c>
      <c r="D24" s="174" t="s">
        <v>2673</v>
      </c>
      <c r="E24" s="174" t="s">
        <v>2674</v>
      </c>
    </row>
    <row r="25" spans="2:5" x14ac:dyDescent="0.2">
      <c r="B25" s="174" t="s">
        <v>2675</v>
      </c>
      <c r="C25" s="174" t="s">
        <v>1813</v>
      </c>
      <c r="D25" s="174" t="s">
        <v>2676</v>
      </c>
      <c r="E25" s="174" t="s">
        <v>2677</v>
      </c>
    </row>
    <row r="26" spans="2:5" x14ac:dyDescent="0.2">
      <c r="B26" s="174" t="s">
        <v>2678</v>
      </c>
      <c r="C26" s="174" t="s">
        <v>1838</v>
      </c>
      <c r="D26" s="174" t="s">
        <v>2679</v>
      </c>
      <c r="E26" s="174" t="s">
        <v>2680</v>
      </c>
    </row>
    <row r="27" spans="2:5" x14ac:dyDescent="0.2">
      <c r="B27" s="174" t="s">
        <v>2681</v>
      </c>
      <c r="C27" s="174" t="s">
        <v>1814</v>
      </c>
      <c r="D27" s="174" t="s">
        <v>1478</v>
      </c>
      <c r="E27" s="174" t="s">
        <v>2682</v>
      </c>
    </row>
    <row r="30" spans="2:5" x14ac:dyDescent="0.2">
      <c r="B30" s="257" t="s">
        <v>853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O17"/>
  <sheetViews>
    <sheetView showGridLines="0" workbookViewId="0"/>
  </sheetViews>
  <sheetFormatPr defaultRowHeight="15" x14ac:dyDescent="0.2"/>
  <cols>
    <col min="1" max="1" width="2.95703125" style="396" customWidth="1"/>
    <col min="2" max="2" width="18.0234375" style="396" customWidth="1"/>
    <col min="3" max="14" width="6.05078125" style="396" customWidth="1"/>
    <col min="15" max="15" width="11.97265625" style="396" customWidth="1"/>
  </cols>
  <sheetData>
    <row r="2" spans="2:15" ht="22.5" customHeight="1" x14ac:dyDescent="0.25">
      <c r="B2" s="171" t="s">
        <v>2683</v>
      </c>
    </row>
    <row r="5" spans="2:15" x14ac:dyDescent="0.2">
      <c r="B5" s="173" t="s">
        <v>2684</v>
      </c>
      <c r="C5" s="173" t="s">
        <v>2648</v>
      </c>
      <c r="D5" s="173" t="s">
        <v>2651</v>
      </c>
      <c r="E5" s="173" t="s">
        <v>2654</v>
      </c>
      <c r="F5" s="173" t="s">
        <v>2657</v>
      </c>
      <c r="G5" s="173" t="s">
        <v>2660</v>
      </c>
      <c r="H5" s="173" t="s">
        <v>2663</v>
      </c>
      <c r="I5" s="173" t="s">
        <v>2666</v>
      </c>
      <c r="J5" s="173" t="s">
        <v>2669</v>
      </c>
      <c r="K5" s="173" t="s">
        <v>2672</v>
      </c>
      <c r="L5" s="173" t="s">
        <v>2675</v>
      </c>
      <c r="M5" s="173" t="s">
        <v>2678</v>
      </c>
      <c r="N5" s="173" t="s">
        <v>2681</v>
      </c>
      <c r="O5" s="173" t="s">
        <v>2685</v>
      </c>
    </row>
    <row r="6" spans="2:15" x14ac:dyDescent="0.2">
      <c r="B6" s="176" t="s">
        <v>1202</v>
      </c>
      <c r="C6" s="177" t="s">
        <v>2686</v>
      </c>
      <c r="D6" s="174"/>
      <c r="E6" s="174"/>
      <c r="F6" s="177" t="s">
        <v>2686</v>
      </c>
      <c r="G6" s="174"/>
      <c r="H6" s="174"/>
      <c r="I6" s="177" t="s">
        <v>2686</v>
      </c>
      <c r="J6" s="174"/>
      <c r="K6" s="174"/>
      <c r="L6" s="177" t="s">
        <v>2686</v>
      </c>
      <c r="M6" s="174"/>
      <c r="N6" s="174"/>
      <c r="O6" s="174" t="str">
        <f>COUNTA(C6:N6)&amp;"/12"</f>
        <v>4/12</v>
      </c>
    </row>
    <row r="7" spans="2:15" x14ac:dyDescent="0.2">
      <c r="B7" s="176" t="s">
        <v>1189</v>
      </c>
      <c r="C7" s="174"/>
      <c r="D7" s="174"/>
      <c r="E7" s="177" t="s">
        <v>2686</v>
      </c>
      <c r="F7" s="174"/>
      <c r="G7" s="174"/>
      <c r="H7" s="177" t="s">
        <v>2686</v>
      </c>
      <c r="I7" s="174"/>
      <c r="J7" s="174"/>
      <c r="K7" s="177" t="s">
        <v>2686</v>
      </c>
      <c r="L7" s="174"/>
      <c r="M7" s="174"/>
      <c r="N7" s="177" t="s">
        <v>2686</v>
      </c>
      <c r="O7" s="174" t="str">
        <f>COUNTA(C7:N7)&amp;"/12"</f>
        <v>4/12</v>
      </c>
    </row>
    <row r="8" spans="2:15" x14ac:dyDescent="0.2">
      <c r="B8" s="176" t="s">
        <v>2373</v>
      </c>
      <c r="C8" s="174"/>
      <c r="D8" s="177" t="s">
        <v>2686</v>
      </c>
      <c r="E8" s="174"/>
      <c r="F8" s="174"/>
      <c r="G8" s="177" t="s">
        <v>2686</v>
      </c>
      <c r="H8" s="174"/>
      <c r="I8" s="174"/>
      <c r="J8" s="177" t="s">
        <v>2686</v>
      </c>
      <c r="K8" s="174"/>
      <c r="L8" s="174"/>
      <c r="M8" s="177" t="s">
        <v>2686</v>
      </c>
      <c r="N8" s="174"/>
      <c r="O8" s="174" t="str">
        <f>COUNTA(C8:N8)&amp;"/12"</f>
        <v>4/12</v>
      </c>
    </row>
    <row r="9" spans="2:15" x14ac:dyDescent="0.2">
      <c r="B9" s="176" t="s">
        <v>2687</v>
      </c>
      <c r="C9" s="177" t="s">
        <v>2686</v>
      </c>
      <c r="D9" s="174"/>
      <c r="E9" s="174"/>
      <c r="F9" s="177" t="s">
        <v>2686</v>
      </c>
      <c r="G9" s="174"/>
      <c r="H9" s="174"/>
      <c r="I9" s="177" t="s">
        <v>2686</v>
      </c>
      <c r="J9" s="174"/>
      <c r="K9" s="174"/>
      <c r="L9" s="177" t="s">
        <v>2686</v>
      </c>
      <c r="M9" s="174"/>
      <c r="N9" s="174"/>
      <c r="O9" s="174" t="str">
        <f>COUNTA(C9:N9)&amp;"/12"</f>
        <v>4/12</v>
      </c>
    </row>
    <row r="10" spans="2:15" x14ac:dyDescent="0.2">
      <c r="B10" s="176" t="s">
        <v>2388</v>
      </c>
      <c r="C10" s="174"/>
      <c r="D10" s="174"/>
      <c r="E10" s="177" t="s">
        <v>2686</v>
      </c>
      <c r="F10" s="174"/>
      <c r="G10" s="174"/>
      <c r="H10" s="177" t="s">
        <v>2686</v>
      </c>
      <c r="I10" s="174"/>
      <c r="J10" s="174"/>
      <c r="K10" s="177" t="s">
        <v>2686</v>
      </c>
      <c r="L10" s="174"/>
      <c r="M10" s="174"/>
      <c r="N10" s="177" t="s">
        <v>2686</v>
      </c>
      <c r="O10" s="174" t="str">
        <f>COUNTA(C10:N10)&amp;"/12"</f>
        <v>4/12</v>
      </c>
    </row>
    <row r="11" spans="2:15" x14ac:dyDescent="0.2">
      <c r="B11" s="174" t="s">
        <v>2525</v>
      </c>
      <c r="C11" s="174" t="str">
        <f>COUNTA(C6:C10)&amp;"/5"</f>
        <v>2/5</v>
      </c>
      <c r="D11" s="174" t="str">
        <f>COUNTA(D6:D10)&amp;"/5"</f>
        <v>1/5</v>
      </c>
      <c r="E11" s="174" t="str">
        <f>COUNTA(E6:E10)&amp;"/5"</f>
        <v>2/5</v>
      </c>
      <c r="F11" s="174" t="str">
        <f>COUNTA(F6:F10)&amp;"/5"</f>
        <v>2/5</v>
      </c>
      <c r="G11" s="174" t="str">
        <f>COUNTA(G6:G10)&amp;"/5"</f>
        <v>1/5</v>
      </c>
      <c r="H11" s="174" t="str">
        <f>COUNTA(H6:H10)&amp;"/5"</f>
        <v>2/5</v>
      </c>
      <c r="I11" s="174" t="str">
        <f>COUNTA(I6:I10)&amp;"/5"</f>
        <v>2/5</v>
      </c>
      <c r="J11" s="174" t="str">
        <f>COUNTA(J6:J10)&amp;"/5"</f>
        <v>1/5</v>
      </c>
      <c r="K11" s="174" t="str">
        <f>COUNTA(K6:K10)&amp;"/5"</f>
        <v>2/5</v>
      </c>
      <c r="L11" s="174" t="str">
        <f>COUNTA(L6:L10)&amp;"/5"</f>
        <v>2/5</v>
      </c>
      <c r="M11" s="174" t="str">
        <f>COUNTA(M6:M10)&amp;"/5"</f>
        <v>1/5</v>
      </c>
      <c r="N11" s="174" t="str">
        <f>COUNTA(N6:N10)&amp;"/5"</f>
        <v>2/5</v>
      </c>
      <c r="O11" s="178" t="str">
        <f>COUNTA(C6:N10)&amp;"/60"</f>
        <v>20/60</v>
      </c>
    </row>
    <row r="13" spans="2:15" ht="16.5" customHeight="1" x14ac:dyDescent="0.2">
      <c r="B13" s="172" t="s">
        <v>2688</v>
      </c>
    </row>
    <row r="14" spans="2:15" x14ac:dyDescent="0.2">
      <c r="B14" s="175" t="s">
        <v>2689</v>
      </c>
    </row>
    <row r="17" spans="2:2" x14ac:dyDescent="0.2">
      <c r="B17" s="257" t="s">
        <v>853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H26"/>
  <sheetViews>
    <sheetView showGridLines="0" workbookViewId="0"/>
  </sheetViews>
  <sheetFormatPr defaultRowHeight="15" x14ac:dyDescent="0.2"/>
  <cols>
    <col min="1" max="1" width="2.95703125" style="396" customWidth="1"/>
    <col min="2" max="2" width="9.953125" style="396" customWidth="1"/>
    <col min="3" max="3" width="20.04296875" style="396" customWidth="1"/>
    <col min="4" max="4" width="14.9296875" style="396" customWidth="1"/>
    <col min="5" max="5" width="18.0234375" style="396" customWidth="1"/>
    <col min="6" max="6" width="11.97265625" style="396" customWidth="1"/>
    <col min="7" max="7" width="25.01953125" style="396" customWidth="1"/>
    <col min="8" max="8" width="29.99609375" style="396" customWidth="1"/>
  </cols>
  <sheetData>
    <row r="2" spans="2:8" ht="22.5" customHeight="1" x14ac:dyDescent="0.25">
      <c r="B2" s="171" t="s">
        <v>2690</v>
      </c>
    </row>
    <row r="5" spans="2:8" x14ac:dyDescent="0.2">
      <c r="B5" s="173" t="s">
        <v>2057</v>
      </c>
      <c r="C5" s="173" t="s">
        <v>2691</v>
      </c>
      <c r="D5" s="173" t="s">
        <v>2692</v>
      </c>
      <c r="E5" s="173" t="s">
        <v>2693</v>
      </c>
      <c r="F5" s="173" t="s">
        <v>1107</v>
      </c>
      <c r="G5" s="173" t="s">
        <v>2694</v>
      </c>
      <c r="H5" s="173" t="s">
        <v>2695</v>
      </c>
    </row>
    <row r="6" spans="2:8" x14ac:dyDescent="0.2">
      <c r="B6" s="174" t="s">
        <v>2696</v>
      </c>
      <c r="C6" s="174" t="s">
        <v>2697</v>
      </c>
      <c r="D6" s="179">
        <v>0</v>
      </c>
      <c r="E6" s="179">
        <v>0</v>
      </c>
      <c r="F6" s="174" t="s">
        <v>2698</v>
      </c>
      <c r="G6" s="174" t="s">
        <v>2699</v>
      </c>
      <c r="H6" s="174" t="s">
        <v>2700</v>
      </c>
    </row>
    <row r="7" spans="2:8" x14ac:dyDescent="0.2">
      <c r="B7" s="174" t="s">
        <v>2701</v>
      </c>
      <c r="C7" s="174" t="s">
        <v>2702</v>
      </c>
      <c r="D7" s="179">
        <v>443000</v>
      </c>
      <c r="E7" s="179">
        <v>443000</v>
      </c>
      <c r="F7" s="174" t="s">
        <v>2698</v>
      </c>
      <c r="G7" s="174" t="s">
        <v>2703</v>
      </c>
      <c r="H7" s="174" t="s">
        <v>2704</v>
      </c>
    </row>
    <row r="8" spans="2:8" x14ac:dyDescent="0.2">
      <c r="B8" s="174" t="s">
        <v>2705</v>
      </c>
      <c r="C8" s="174" t="s">
        <v>2706</v>
      </c>
      <c r="D8" s="179">
        <v>886000</v>
      </c>
      <c r="E8" s="179">
        <v>1329000</v>
      </c>
      <c r="F8" s="174" t="s">
        <v>2698</v>
      </c>
      <c r="G8" s="174" t="s">
        <v>2707</v>
      </c>
      <c r="H8" s="174" t="s">
        <v>2708</v>
      </c>
    </row>
    <row r="9" spans="2:8" x14ac:dyDescent="0.2">
      <c r="B9" s="174" t="s">
        <v>2709</v>
      </c>
      <c r="C9" s="174" t="s">
        <v>2710</v>
      </c>
      <c r="D9" s="179">
        <v>1329000</v>
      </c>
      <c r="E9" s="179">
        <v>2658000</v>
      </c>
      <c r="F9" s="174" t="s">
        <v>2698</v>
      </c>
      <c r="G9" s="174" t="s">
        <v>2711</v>
      </c>
      <c r="H9" s="174" t="s">
        <v>2712</v>
      </c>
    </row>
    <row r="10" spans="2:8" x14ac:dyDescent="0.2">
      <c r="B10" s="174" t="s">
        <v>2281</v>
      </c>
      <c r="C10" s="174" t="s">
        <v>2713</v>
      </c>
      <c r="D10" s="179">
        <v>1772000</v>
      </c>
      <c r="E10" s="179">
        <v>4430000</v>
      </c>
      <c r="F10" s="174" t="s">
        <v>1155</v>
      </c>
      <c r="G10" s="174" t="s">
        <v>2714</v>
      </c>
      <c r="H10" s="174" t="s">
        <v>2715</v>
      </c>
    </row>
    <row r="11" spans="2:8" x14ac:dyDescent="0.2">
      <c r="B11" s="174" t="s">
        <v>2275</v>
      </c>
      <c r="C11" s="174" t="s">
        <v>2716</v>
      </c>
      <c r="D11" s="179">
        <v>2215000</v>
      </c>
      <c r="E11" s="179">
        <v>6645000</v>
      </c>
      <c r="F11" s="174" t="s">
        <v>1155</v>
      </c>
      <c r="G11" s="174" t="s">
        <v>2717</v>
      </c>
      <c r="H11" s="174" t="s">
        <v>2718</v>
      </c>
    </row>
    <row r="12" spans="2:8" x14ac:dyDescent="0.2">
      <c r="B12" s="174" t="s">
        <v>2272</v>
      </c>
      <c r="C12" s="174" t="s">
        <v>2719</v>
      </c>
      <c r="D12" s="179">
        <v>2658000</v>
      </c>
      <c r="E12" s="179">
        <v>9303000</v>
      </c>
      <c r="F12" s="174" t="s">
        <v>1155</v>
      </c>
      <c r="G12" s="174" t="s">
        <v>2720</v>
      </c>
      <c r="H12" s="174" t="s">
        <v>2721</v>
      </c>
    </row>
    <row r="13" spans="2:8" x14ac:dyDescent="0.2">
      <c r="B13" s="174" t="s">
        <v>2296</v>
      </c>
      <c r="C13" s="174" t="s">
        <v>2722</v>
      </c>
      <c r="D13" s="179">
        <v>3101000</v>
      </c>
      <c r="E13" s="179">
        <v>12404000</v>
      </c>
      <c r="F13" s="174" t="s">
        <v>1155</v>
      </c>
      <c r="G13" s="174" t="s">
        <v>2723</v>
      </c>
      <c r="H13" s="174" t="s">
        <v>2724</v>
      </c>
    </row>
    <row r="14" spans="2:8" x14ac:dyDescent="0.2">
      <c r="B14" s="174" t="s">
        <v>2288</v>
      </c>
      <c r="C14" s="174" t="s">
        <v>2725</v>
      </c>
      <c r="D14" s="179">
        <v>3544000</v>
      </c>
      <c r="E14" s="179">
        <v>15948000</v>
      </c>
      <c r="F14" s="174" t="s">
        <v>2726</v>
      </c>
      <c r="G14" s="174" t="s">
        <v>2727</v>
      </c>
      <c r="H14" s="174" t="s">
        <v>2728</v>
      </c>
    </row>
    <row r="15" spans="2:8" x14ac:dyDescent="0.2">
      <c r="B15" s="174" t="s">
        <v>2729</v>
      </c>
      <c r="C15" s="174" t="s">
        <v>2730</v>
      </c>
      <c r="D15" s="179">
        <v>3987000</v>
      </c>
      <c r="E15" s="179">
        <v>19935000</v>
      </c>
      <c r="F15" s="174" t="s">
        <v>2726</v>
      </c>
      <c r="G15" s="174" t="s">
        <v>2731</v>
      </c>
      <c r="H15" s="174" t="s">
        <v>2732</v>
      </c>
    </row>
    <row r="16" spans="2:8" x14ac:dyDescent="0.2">
      <c r="B16" s="174" t="s">
        <v>2733</v>
      </c>
      <c r="C16" s="174" t="s">
        <v>2734</v>
      </c>
      <c r="D16" s="179">
        <v>4065000</v>
      </c>
      <c r="E16" s="179">
        <v>24000000</v>
      </c>
      <c r="F16" s="174" t="s">
        <v>2726</v>
      </c>
      <c r="G16" s="174" t="s">
        <v>2735</v>
      </c>
      <c r="H16" s="174" t="s">
        <v>2736</v>
      </c>
    </row>
    <row r="17" spans="2:8" x14ac:dyDescent="0.2">
      <c r="B17" s="174" t="s">
        <v>2737</v>
      </c>
      <c r="C17" s="174" t="s">
        <v>2738</v>
      </c>
      <c r="D17" s="174"/>
      <c r="E17" s="174"/>
      <c r="F17" s="174" t="s">
        <v>2726</v>
      </c>
      <c r="G17" s="174" t="s">
        <v>2739</v>
      </c>
      <c r="H17" s="174" t="s">
        <v>2740</v>
      </c>
    </row>
    <row r="18" spans="2:8" x14ac:dyDescent="0.2">
      <c r="B18" s="174" t="s">
        <v>2741</v>
      </c>
      <c r="C18" s="174" t="s">
        <v>2742</v>
      </c>
      <c r="D18" s="174"/>
      <c r="E18" s="174"/>
      <c r="F18" s="174" t="s">
        <v>2726</v>
      </c>
      <c r="G18" s="174" t="s">
        <v>2743</v>
      </c>
      <c r="H18" s="174" t="s">
        <v>2744</v>
      </c>
    </row>
    <row r="20" spans="2:8" x14ac:dyDescent="0.2">
      <c r="B20" s="175" t="s">
        <v>2745</v>
      </c>
    </row>
    <row r="21" spans="2:8" x14ac:dyDescent="0.2">
      <c r="B21" s="175" t="s">
        <v>2746</v>
      </c>
    </row>
    <row r="22" spans="2:8" x14ac:dyDescent="0.2">
      <c r="B22" s="175" t="s">
        <v>2747</v>
      </c>
    </row>
    <row r="23" spans="2:8" x14ac:dyDescent="0.2">
      <c r="B23" s="175" t="s">
        <v>2748</v>
      </c>
    </row>
    <row r="26" spans="2:8" x14ac:dyDescent="0.2">
      <c r="B26" s="257" t="s">
        <v>853</v>
      </c>
    </row>
  </sheetData>
  <conditionalFormatting sqref="E6:E16">
    <cfRule type="dataBar" priority="1">
      <dataBar>
        <cfvo type="min"/>
        <cfvo type="max"/>
        <color rgb="FFC9A227"/>
      </dataBar>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G30"/>
  <sheetViews>
    <sheetView showGridLines="0" workbookViewId="0"/>
  </sheetViews>
  <sheetFormatPr defaultRowHeight="15" x14ac:dyDescent="0.2"/>
  <cols>
    <col min="1" max="1" width="2.95703125" style="396" customWidth="1"/>
    <col min="2" max="2" width="7.93359375" style="396" customWidth="1"/>
    <col min="3" max="4" width="20.04296875" style="396" customWidth="1"/>
    <col min="5" max="5" width="14.9296875" style="396" customWidth="1"/>
    <col min="6" max="6" width="45.0625" style="396" customWidth="1"/>
    <col min="7" max="7" width="25.01953125" style="396" customWidth="1"/>
  </cols>
  <sheetData>
    <row r="2" spans="2:7" ht="22.5" customHeight="1" x14ac:dyDescent="0.25">
      <c r="B2" s="171" t="s">
        <v>2749</v>
      </c>
    </row>
    <row r="5" spans="2:7" x14ac:dyDescent="0.2">
      <c r="B5" s="173" t="s">
        <v>2750</v>
      </c>
      <c r="C5" s="173" t="s">
        <v>1435</v>
      </c>
      <c r="D5" s="173" t="s">
        <v>2751</v>
      </c>
      <c r="E5" s="173" t="s">
        <v>1347</v>
      </c>
      <c r="F5" s="173" t="s">
        <v>2752</v>
      </c>
      <c r="G5" s="173" t="s">
        <v>2694</v>
      </c>
    </row>
    <row r="6" spans="2:7" x14ac:dyDescent="0.2">
      <c r="B6" s="174">
        <v>1</v>
      </c>
      <c r="C6" s="174" t="s">
        <v>2753</v>
      </c>
      <c r="D6" s="174" t="s">
        <v>2754</v>
      </c>
      <c r="E6" s="174" t="s">
        <v>2755</v>
      </c>
      <c r="F6" s="174" t="s">
        <v>2756</v>
      </c>
      <c r="G6" s="174" t="s">
        <v>2757</v>
      </c>
    </row>
    <row r="7" spans="2:7" x14ac:dyDescent="0.2">
      <c r="B7" s="174">
        <v>2</v>
      </c>
      <c r="C7" s="174" t="s">
        <v>2758</v>
      </c>
      <c r="D7" s="174" t="s">
        <v>2759</v>
      </c>
      <c r="E7" s="174" t="s">
        <v>2522</v>
      </c>
      <c r="F7" s="174" t="s">
        <v>2760</v>
      </c>
      <c r="G7" s="174" t="s">
        <v>2761</v>
      </c>
    </row>
    <row r="8" spans="2:7" x14ac:dyDescent="0.2">
      <c r="B8" s="174">
        <v>3</v>
      </c>
      <c r="C8" s="180" t="s">
        <v>2762</v>
      </c>
      <c r="D8" s="174" t="s">
        <v>2763</v>
      </c>
      <c r="E8" s="174"/>
      <c r="F8" s="174"/>
      <c r="G8" s="174"/>
    </row>
    <row r="9" spans="2:7" x14ac:dyDescent="0.2">
      <c r="B9" s="174">
        <v>4</v>
      </c>
      <c r="C9" s="180" t="s">
        <v>2762</v>
      </c>
      <c r="D9" s="174" t="s">
        <v>2763</v>
      </c>
      <c r="E9" s="174"/>
      <c r="F9" s="174"/>
      <c r="G9" s="174"/>
    </row>
    <row r="10" spans="2:7" x14ac:dyDescent="0.2">
      <c r="B10" s="174">
        <v>5</v>
      </c>
      <c r="C10" s="180" t="s">
        <v>2762</v>
      </c>
      <c r="D10" s="174" t="s">
        <v>2763</v>
      </c>
      <c r="E10" s="174"/>
      <c r="F10" s="174"/>
      <c r="G10" s="174"/>
    </row>
    <row r="11" spans="2:7" x14ac:dyDescent="0.2">
      <c r="B11" s="174">
        <v>6</v>
      </c>
      <c r="C11" s="180" t="s">
        <v>2762</v>
      </c>
      <c r="D11" s="174" t="s">
        <v>2763</v>
      </c>
      <c r="E11" s="174"/>
      <c r="F11" s="174"/>
      <c r="G11" s="174"/>
    </row>
    <row r="12" spans="2:7" x14ac:dyDescent="0.2">
      <c r="B12" s="174">
        <v>7</v>
      </c>
      <c r="C12" s="180" t="s">
        <v>2762</v>
      </c>
      <c r="D12" s="174" t="s">
        <v>2763</v>
      </c>
      <c r="E12" s="174"/>
      <c r="F12" s="174"/>
      <c r="G12" s="174"/>
    </row>
    <row r="13" spans="2:7" x14ac:dyDescent="0.2">
      <c r="B13" s="174">
        <v>8</v>
      </c>
      <c r="C13" s="180" t="s">
        <v>2762</v>
      </c>
      <c r="D13" s="174" t="s">
        <v>2763</v>
      </c>
      <c r="E13" s="174"/>
      <c r="F13" s="174"/>
      <c r="G13" s="174"/>
    </row>
    <row r="14" spans="2:7" x14ac:dyDescent="0.2">
      <c r="B14" s="174">
        <v>9</v>
      </c>
      <c r="C14" s="180" t="s">
        <v>2762</v>
      </c>
      <c r="D14" s="174" t="s">
        <v>2763</v>
      </c>
      <c r="E14" s="174"/>
      <c r="F14" s="174"/>
      <c r="G14" s="174"/>
    </row>
    <row r="15" spans="2:7" x14ac:dyDescent="0.2">
      <c r="B15" s="174">
        <v>10</v>
      </c>
      <c r="C15" s="180" t="s">
        <v>2762</v>
      </c>
      <c r="D15" s="174" t="s">
        <v>2763</v>
      </c>
      <c r="E15" s="174"/>
      <c r="F15" s="174"/>
      <c r="G15" s="174"/>
    </row>
    <row r="16" spans="2:7" x14ac:dyDescent="0.2">
      <c r="B16" s="174">
        <v>11</v>
      </c>
      <c r="C16" s="180" t="s">
        <v>2762</v>
      </c>
      <c r="D16" s="174" t="s">
        <v>2763</v>
      </c>
      <c r="E16" s="174"/>
      <c r="F16" s="174"/>
      <c r="G16" s="174"/>
    </row>
    <row r="17" spans="2:7" x14ac:dyDescent="0.2">
      <c r="B17" s="174">
        <v>12</v>
      </c>
      <c r="C17" s="180" t="s">
        <v>2762</v>
      </c>
      <c r="D17" s="174" t="s">
        <v>2763</v>
      </c>
      <c r="E17" s="174"/>
      <c r="F17" s="174"/>
      <c r="G17" s="174"/>
    </row>
    <row r="18" spans="2:7" x14ac:dyDescent="0.2">
      <c r="B18" s="174">
        <v>13</v>
      </c>
      <c r="C18" s="180" t="s">
        <v>2762</v>
      </c>
      <c r="D18" s="174" t="s">
        <v>2763</v>
      </c>
      <c r="E18" s="174"/>
      <c r="F18" s="174"/>
      <c r="G18" s="174"/>
    </row>
    <row r="19" spans="2:7" x14ac:dyDescent="0.2">
      <c r="B19" s="174">
        <v>14</v>
      </c>
      <c r="C19" s="180" t="s">
        <v>2762</v>
      </c>
      <c r="D19" s="174" t="s">
        <v>2763</v>
      </c>
      <c r="E19" s="174"/>
      <c r="F19" s="174"/>
      <c r="G19" s="174"/>
    </row>
    <row r="20" spans="2:7" x14ac:dyDescent="0.2">
      <c r="B20" s="174">
        <v>15</v>
      </c>
      <c r="C20" s="180" t="s">
        <v>2762</v>
      </c>
      <c r="D20" s="174" t="s">
        <v>2763</v>
      </c>
      <c r="E20" s="174"/>
      <c r="F20" s="174"/>
      <c r="G20" s="174"/>
    </row>
    <row r="21" spans="2:7" x14ac:dyDescent="0.2">
      <c r="B21" s="174">
        <v>16</v>
      </c>
      <c r="C21" s="180" t="s">
        <v>2762</v>
      </c>
      <c r="D21" s="174" t="s">
        <v>2763</v>
      </c>
      <c r="E21" s="174"/>
      <c r="F21" s="174"/>
      <c r="G21" s="174"/>
    </row>
    <row r="22" spans="2:7" x14ac:dyDescent="0.2">
      <c r="B22" s="174">
        <v>17</v>
      </c>
      <c r="C22" s="180" t="s">
        <v>2762</v>
      </c>
      <c r="D22" s="174" t="s">
        <v>2763</v>
      </c>
      <c r="E22" s="174"/>
      <c r="F22" s="174"/>
      <c r="G22" s="174"/>
    </row>
    <row r="23" spans="2:7" x14ac:dyDescent="0.2">
      <c r="B23" s="174">
        <v>18</v>
      </c>
      <c r="C23" s="180" t="s">
        <v>2762</v>
      </c>
      <c r="D23" s="174" t="s">
        <v>2763</v>
      </c>
      <c r="E23" s="174"/>
      <c r="F23" s="174"/>
      <c r="G23" s="174"/>
    </row>
    <row r="24" spans="2:7" x14ac:dyDescent="0.2">
      <c r="B24" s="174">
        <v>19</v>
      </c>
      <c r="C24" s="180" t="s">
        <v>2762</v>
      </c>
      <c r="D24" s="174" t="s">
        <v>2763</v>
      </c>
      <c r="E24" s="174"/>
      <c r="F24" s="174"/>
      <c r="G24" s="174"/>
    </row>
    <row r="25" spans="2:7" x14ac:dyDescent="0.2">
      <c r="B25" s="174">
        <v>20</v>
      </c>
      <c r="C25" s="180" t="s">
        <v>2762</v>
      </c>
      <c r="D25" s="174" t="s">
        <v>2763</v>
      </c>
      <c r="E25" s="174"/>
      <c r="F25" s="174"/>
      <c r="G25" s="174"/>
    </row>
    <row r="27" spans="2:7" x14ac:dyDescent="0.2">
      <c r="B27" s="175" t="s">
        <v>2764</v>
      </c>
    </row>
    <row r="30" spans="2:7" x14ac:dyDescent="0.2">
      <c r="B30" s="257" t="s">
        <v>853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E38"/>
  <sheetViews>
    <sheetView showGridLines="0" workbookViewId="0"/>
  </sheetViews>
  <sheetFormatPr defaultRowHeight="15" x14ac:dyDescent="0.2"/>
  <cols>
    <col min="1" max="1" width="2.95703125" style="396" customWidth="1"/>
    <col min="2" max="2" width="39.953125" style="396" customWidth="1"/>
    <col min="3" max="3" width="14.9296875" style="396" customWidth="1"/>
    <col min="4" max="4" width="29.99609375" style="396" customWidth="1"/>
    <col min="5" max="5" width="59.99609375" style="396" customWidth="1"/>
  </cols>
  <sheetData>
    <row r="2" spans="2:5" ht="22.5" customHeight="1" x14ac:dyDescent="0.25">
      <c r="B2" s="171" t="s">
        <v>2765</v>
      </c>
    </row>
    <row r="4" spans="2:5" ht="16.5" customHeight="1" x14ac:dyDescent="0.2">
      <c r="B4" s="172" t="s">
        <v>2766</v>
      </c>
    </row>
    <row r="5" spans="2:5" x14ac:dyDescent="0.2">
      <c r="B5" s="181" t="s">
        <v>2767</v>
      </c>
    </row>
    <row r="6" spans="2:5" x14ac:dyDescent="0.2">
      <c r="B6" s="181" t="s">
        <v>2768</v>
      </c>
    </row>
    <row r="7" spans="2:5" x14ac:dyDescent="0.2">
      <c r="B7" s="181" t="s">
        <v>2769</v>
      </c>
    </row>
    <row r="8" spans="2:5" x14ac:dyDescent="0.2">
      <c r="B8" s="181" t="s">
        <v>2770</v>
      </c>
    </row>
    <row r="9" spans="2:5" x14ac:dyDescent="0.2">
      <c r="B9" s="181" t="s">
        <v>2771</v>
      </c>
    </row>
    <row r="11" spans="2:5" ht="16.5" customHeight="1" x14ac:dyDescent="0.2">
      <c r="B11" s="172" t="s">
        <v>2772</v>
      </c>
    </row>
    <row r="12" spans="2:5" x14ac:dyDescent="0.2">
      <c r="B12" s="173" t="s">
        <v>857</v>
      </c>
      <c r="C12" s="173" t="s">
        <v>2773</v>
      </c>
      <c r="D12" s="173" t="s">
        <v>2694</v>
      </c>
      <c r="E12" s="173" t="s">
        <v>2774</v>
      </c>
    </row>
    <row r="13" spans="2:5" x14ac:dyDescent="0.2">
      <c r="B13" s="174" t="s">
        <v>2775</v>
      </c>
      <c r="C13" s="174" t="s">
        <v>2776</v>
      </c>
      <c r="D13" s="174" t="s">
        <v>2777</v>
      </c>
      <c r="E13" s="174" t="s">
        <v>2778</v>
      </c>
    </row>
    <row r="14" spans="2:5" x14ac:dyDescent="0.2">
      <c r="B14" s="174" t="s">
        <v>2779</v>
      </c>
      <c r="C14" s="174" t="s">
        <v>2780</v>
      </c>
      <c r="D14" s="174" t="s">
        <v>2781</v>
      </c>
      <c r="E14" s="174" t="s">
        <v>2782</v>
      </c>
    </row>
    <row r="16" spans="2:5" ht="16.5" customHeight="1" x14ac:dyDescent="0.2">
      <c r="B16" s="172" t="s">
        <v>2783</v>
      </c>
    </row>
    <row r="17" spans="2:2" x14ac:dyDescent="0.2">
      <c r="B17" s="181" t="s">
        <v>2784</v>
      </c>
    </row>
    <row r="18" spans="2:2" x14ac:dyDescent="0.2">
      <c r="B18" s="181" t="s">
        <v>2785</v>
      </c>
    </row>
    <row r="19" spans="2:2" x14ac:dyDescent="0.2">
      <c r="B19" s="181" t="s">
        <v>2786</v>
      </c>
    </row>
    <row r="20" spans="2:2" x14ac:dyDescent="0.2">
      <c r="B20" s="181" t="s">
        <v>2787</v>
      </c>
    </row>
    <row r="21" spans="2:2" x14ac:dyDescent="0.2">
      <c r="B21" s="181" t="s">
        <v>2788</v>
      </c>
    </row>
    <row r="22" spans="2:2" x14ac:dyDescent="0.2">
      <c r="B22" s="181" t="s">
        <v>2789</v>
      </c>
    </row>
    <row r="24" spans="2:2" ht="16.5" customHeight="1" x14ac:dyDescent="0.2">
      <c r="B24" s="172" t="s">
        <v>2790</v>
      </c>
    </row>
    <row r="25" spans="2:2" x14ac:dyDescent="0.2">
      <c r="B25" s="181" t="s">
        <v>2791</v>
      </c>
    </row>
    <row r="26" spans="2:2" x14ac:dyDescent="0.2">
      <c r="B26" s="181" t="s">
        <v>2792</v>
      </c>
    </row>
    <row r="27" spans="2:2" x14ac:dyDescent="0.2">
      <c r="B27" s="181" t="s">
        <v>2793</v>
      </c>
    </row>
    <row r="28" spans="2:2" x14ac:dyDescent="0.2">
      <c r="B28" s="181" t="s">
        <v>2794</v>
      </c>
    </row>
    <row r="29" spans="2:2" x14ac:dyDescent="0.2">
      <c r="B29" s="181" t="s">
        <v>2795</v>
      </c>
    </row>
    <row r="31" spans="2:2" ht="16.5" customHeight="1" x14ac:dyDescent="0.2">
      <c r="B31" s="172" t="s">
        <v>2796</v>
      </c>
    </row>
    <row r="32" spans="2:2" x14ac:dyDescent="0.2">
      <c r="B32" s="181" t="s">
        <v>2797</v>
      </c>
    </row>
    <row r="33" spans="2:2" x14ac:dyDescent="0.2">
      <c r="B33" s="181" t="s">
        <v>2798</v>
      </c>
    </row>
    <row r="34" spans="2:2" x14ac:dyDescent="0.2">
      <c r="B34" s="181" t="s">
        <v>2799</v>
      </c>
    </row>
    <row r="35" spans="2:2" x14ac:dyDescent="0.2">
      <c r="B35" s="181" t="s">
        <v>2800</v>
      </c>
    </row>
    <row r="38" spans="2:2" x14ac:dyDescent="0.2">
      <c r="B38" s="257" t="s">
        <v>853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34"/>
  <sheetViews>
    <sheetView showGridLines="0" workbookViewId="0"/>
  </sheetViews>
  <sheetFormatPr defaultRowHeight="15" x14ac:dyDescent="0.2"/>
  <cols>
    <col min="1" max="1" width="2.95703125" style="396" customWidth="1"/>
    <col min="2" max="2" width="22.05859375" style="396" customWidth="1"/>
    <col min="3" max="3" width="20.04296875" style="396" customWidth="1"/>
    <col min="4" max="4" width="27.98046875" style="396" customWidth="1"/>
    <col min="5" max="5" width="22.05859375" style="396" customWidth="1"/>
    <col min="6" max="6" width="18.0234375" style="396" customWidth="1"/>
    <col min="7" max="7" width="29.99609375" style="396" customWidth="1"/>
  </cols>
  <sheetData>
    <row r="2" spans="2:7" ht="23.25" customHeight="1" x14ac:dyDescent="0.3">
      <c r="B2" s="258" t="s">
        <v>2801</v>
      </c>
    </row>
    <row r="3" spans="2:7" x14ac:dyDescent="0.2">
      <c r="B3" s="259" t="s">
        <v>2802</v>
      </c>
    </row>
    <row r="4" spans="2:7" x14ac:dyDescent="0.2">
      <c r="B4" s="257" t="s">
        <v>2803</v>
      </c>
    </row>
    <row r="6" spans="2:7" x14ac:dyDescent="0.2">
      <c r="B6" s="260" t="s">
        <v>2804</v>
      </c>
      <c r="C6" s="260" t="s">
        <v>2805</v>
      </c>
      <c r="D6" s="260" t="s">
        <v>2806</v>
      </c>
      <c r="E6" s="260" t="s">
        <v>2807</v>
      </c>
      <c r="F6" s="260" t="s">
        <v>2808</v>
      </c>
      <c r="G6" s="260" t="s">
        <v>2809</v>
      </c>
    </row>
    <row r="7" spans="2:7" ht="61.5" customHeight="1" x14ac:dyDescent="0.2">
      <c r="B7" s="261" t="s">
        <v>2810</v>
      </c>
      <c r="C7" s="261" t="s">
        <v>2811</v>
      </c>
      <c r="D7" s="261" t="s">
        <v>2812</v>
      </c>
      <c r="E7" s="261" t="s">
        <v>2813</v>
      </c>
      <c r="F7" s="261" t="s">
        <v>2814</v>
      </c>
      <c r="G7" s="261" t="s">
        <v>2815</v>
      </c>
    </row>
    <row r="8" spans="2:7" ht="61.5" customHeight="1" x14ac:dyDescent="0.2">
      <c r="B8" s="262" t="s">
        <v>2816</v>
      </c>
      <c r="C8" s="262" t="s">
        <v>2817</v>
      </c>
      <c r="D8" s="262" t="s">
        <v>2818</v>
      </c>
      <c r="E8" s="262" t="s">
        <v>2819</v>
      </c>
      <c r="F8" s="262" t="s">
        <v>2820</v>
      </c>
      <c r="G8" s="262" t="s">
        <v>2821</v>
      </c>
    </row>
    <row r="9" spans="2:7" ht="49.5" customHeight="1" x14ac:dyDescent="0.2">
      <c r="B9" s="261" t="s">
        <v>2822</v>
      </c>
      <c r="C9" s="261" t="s">
        <v>2823</v>
      </c>
      <c r="D9" s="261" t="s">
        <v>2824</v>
      </c>
      <c r="E9" s="261" t="s">
        <v>2825</v>
      </c>
      <c r="F9" s="261" t="s">
        <v>2826</v>
      </c>
      <c r="G9" s="261" t="s">
        <v>2827</v>
      </c>
    </row>
    <row r="10" spans="2:7" ht="37.5" customHeight="1" x14ac:dyDescent="0.2">
      <c r="B10" s="262" t="s">
        <v>2828</v>
      </c>
      <c r="C10" s="262" t="s">
        <v>2829</v>
      </c>
      <c r="D10" s="262" t="s">
        <v>2830</v>
      </c>
      <c r="E10" s="262" t="s">
        <v>2831</v>
      </c>
      <c r="F10" s="262" t="s">
        <v>2832</v>
      </c>
      <c r="G10" s="262" t="s">
        <v>2833</v>
      </c>
    </row>
    <row r="11" spans="2:7" ht="49.5" customHeight="1" x14ac:dyDescent="0.2">
      <c r="B11" s="261" t="s">
        <v>2834</v>
      </c>
      <c r="C11" s="261" t="s">
        <v>2835</v>
      </c>
      <c r="D11" s="261" t="s">
        <v>2836</v>
      </c>
      <c r="E11" s="261" t="s">
        <v>2837</v>
      </c>
      <c r="F11" s="261" t="s">
        <v>2838</v>
      </c>
      <c r="G11" s="261" t="s">
        <v>2839</v>
      </c>
    </row>
    <row r="12" spans="2:7" ht="49.5" customHeight="1" x14ac:dyDescent="0.2">
      <c r="B12" s="262" t="s">
        <v>2840</v>
      </c>
      <c r="C12" s="262" t="s">
        <v>2841</v>
      </c>
      <c r="D12" s="262" t="s">
        <v>2842</v>
      </c>
      <c r="E12" s="262" t="s">
        <v>2843</v>
      </c>
      <c r="F12" s="262" t="s">
        <v>2844</v>
      </c>
      <c r="G12" s="262" t="s">
        <v>2845</v>
      </c>
    </row>
    <row r="13" spans="2:7" ht="49.5" customHeight="1" x14ac:dyDescent="0.2">
      <c r="B13" s="261" t="s">
        <v>2846</v>
      </c>
      <c r="C13" s="261" t="s">
        <v>2817</v>
      </c>
      <c r="D13" s="261" t="s">
        <v>2847</v>
      </c>
      <c r="E13" s="261" t="s">
        <v>2848</v>
      </c>
      <c r="F13" s="261" t="s">
        <v>2849</v>
      </c>
      <c r="G13" s="261" t="s">
        <v>2850</v>
      </c>
    </row>
    <row r="14" spans="2:7" ht="49.5" customHeight="1" x14ac:dyDescent="0.2">
      <c r="B14" s="262" t="s">
        <v>2851</v>
      </c>
      <c r="C14" s="262" t="s">
        <v>2852</v>
      </c>
      <c r="D14" s="262" t="s">
        <v>2853</v>
      </c>
      <c r="E14" s="262" t="s">
        <v>2854</v>
      </c>
      <c r="F14" s="262" t="s">
        <v>2855</v>
      </c>
      <c r="G14" s="262" t="s">
        <v>2856</v>
      </c>
    </row>
    <row r="15" spans="2:7" ht="49.5" customHeight="1" x14ac:dyDescent="0.2">
      <c r="B15" s="261" t="s">
        <v>2857</v>
      </c>
      <c r="C15" s="261" t="s">
        <v>2858</v>
      </c>
      <c r="D15" s="261" t="s">
        <v>2859</v>
      </c>
      <c r="E15" s="261" t="s">
        <v>2860</v>
      </c>
      <c r="F15" s="261" t="s">
        <v>2861</v>
      </c>
      <c r="G15" s="261" t="s">
        <v>2862</v>
      </c>
    </row>
    <row r="16" spans="2:7" ht="49.5" customHeight="1" x14ac:dyDescent="0.2">
      <c r="B16" s="262" t="s">
        <v>2863</v>
      </c>
      <c r="C16" s="262" t="s">
        <v>2864</v>
      </c>
      <c r="D16" s="262" t="s">
        <v>2865</v>
      </c>
      <c r="E16" s="262" t="s">
        <v>2866</v>
      </c>
      <c r="F16" s="262" t="s">
        <v>2867</v>
      </c>
      <c r="G16" s="262" t="s">
        <v>2868</v>
      </c>
    </row>
    <row r="19" spans="2:5" ht="18.75" customHeight="1" x14ac:dyDescent="0.25">
      <c r="B19" s="263" t="s">
        <v>2869</v>
      </c>
    </row>
    <row r="21" spans="2:5" x14ac:dyDescent="0.2">
      <c r="B21" s="260" t="s">
        <v>379</v>
      </c>
      <c r="C21" s="260" t="s">
        <v>2870</v>
      </c>
      <c r="D21" s="260" t="s">
        <v>2871</v>
      </c>
      <c r="E21" s="260" t="s">
        <v>2872</v>
      </c>
    </row>
    <row r="22" spans="2:5" ht="37.5" customHeight="1" x14ac:dyDescent="0.2">
      <c r="B22" s="261" t="s">
        <v>2066</v>
      </c>
      <c r="C22" s="261" t="s">
        <v>2873</v>
      </c>
      <c r="D22" s="261" t="s">
        <v>2874</v>
      </c>
      <c r="E22" s="261" t="s">
        <v>2875</v>
      </c>
    </row>
    <row r="23" spans="2:5" ht="49.5" customHeight="1" x14ac:dyDescent="0.2">
      <c r="B23" s="262" t="s">
        <v>467</v>
      </c>
      <c r="C23" s="262" t="s">
        <v>2876</v>
      </c>
      <c r="D23" s="262" t="s">
        <v>2877</v>
      </c>
      <c r="E23" s="262" t="s">
        <v>2878</v>
      </c>
    </row>
    <row r="24" spans="2:5" ht="37.5" customHeight="1" x14ac:dyDescent="0.2">
      <c r="B24" s="261" t="s">
        <v>2079</v>
      </c>
      <c r="C24" s="261" t="s">
        <v>2879</v>
      </c>
      <c r="D24" s="261" t="s">
        <v>2880</v>
      </c>
      <c r="E24" s="261" t="s">
        <v>2881</v>
      </c>
    </row>
    <row r="25" spans="2:5" ht="37.5" customHeight="1" x14ac:dyDescent="0.2">
      <c r="B25" s="262" t="s">
        <v>2088</v>
      </c>
      <c r="C25" s="262" t="s">
        <v>2882</v>
      </c>
      <c r="D25" s="262" t="s">
        <v>2851</v>
      </c>
      <c r="E25" s="262" t="s">
        <v>2883</v>
      </c>
    </row>
    <row r="26" spans="2:5" ht="49.5" customHeight="1" x14ac:dyDescent="0.2">
      <c r="B26" s="261" t="s">
        <v>2093</v>
      </c>
      <c r="C26" s="261" t="s">
        <v>2884</v>
      </c>
      <c r="D26" s="261" t="s">
        <v>2885</v>
      </c>
      <c r="E26" s="261" t="s">
        <v>2886</v>
      </c>
    </row>
    <row r="27" spans="2:5" ht="37.5" customHeight="1" x14ac:dyDescent="0.2">
      <c r="B27" s="262" t="s">
        <v>2887</v>
      </c>
      <c r="C27" s="262" t="s">
        <v>2888</v>
      </c>
      <c r="D27" s="262" t="s">
        <v>2889</v>
      </c>
      <c r="E27" s="262" t="s">
        <v>2890</v>
      </c>
    </row>
    <row r="28" spans="2:5" ht="49.5" customHeight="1" x14ac:dyDescent="0.2">
      <c r="B28" s="261" t="s">
        <v>2891</v>
      </c>
      <c r="C28" s="261" t="s">
        <v>2892</v>
      </c>
      <c r="D28" s="261" t="s">
        <v>2893</v>
      </c>
      <c r="E28" s="261" t="s">
        <v>2894</v>
      </c>
    </row>
    <row r="29" spans="2:5" ht="49.5" customHeight="1" x14ac:dyDescent="0.2">
      <c r="B29" s="262" t="s">
        <v>2895</v>
      </c>
      <c r="C29" s="262" t="s">
        <v>2896</v>
      </c>
      <c r="D29" s="262" t="s">
        <v>2897</v>
      </c>
      <c r="E29" s="262" t="s">
        <v>2898</v>
      </c>
    </row>
    <row r="30" spans="2:5" ht="37.5" customHeight="1" x14ac:dyDescent="0.2">
      <c r="B30" s="261" t="s">
        <v>2899</v>
      </c>
      <c r="C30" s="261" t="s">
        <v>2900</v>
      </c>
      <c r="D30" s="261" t="s">
        <v>2828</v>
      </c>
      <c r="E30" s="261" t="s">
        <v>2901</v>
      </c>
    </row>
    <row r="31" spans="2:5" ht="37.5" customHeight="1" x14ac:dyDescent="0.2">
      <c r="B31" s="262" t="s">
        <v>2902</v>
      </c>
      <c r="C31" s="262" t="s">
        <v>2903</v>
      </c>
      <c r="D31" s="262" t="s">
        <v>2863</v>
      </c>
      <c r="E31" s="262" t="s">
        <v>2904</v>
      </c>
    </row>
    <row r="34" spans="2:2" x14ac:dyDescent="0.2">
      <c r="B34" s="257" t="s">
        <v>853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80"/>
  <sheetViews>
    <sheetView workbookViewId="0"/>
  </sheetViews>
  <sheetFormatPr defaultRowHeight="15" x14ac:dyDescent="0.2"/>
  <cols>
    <col min="1" max="1" width="16.0078125" style="396" customWidth="1"/>
    <col min="2" max="14" width="13.046875" style="396" customWidth="1"/>
  </cols>
  <sheetData>
    <row r="1" spans="1:14" ht="30" customHeight="1" x14ac:dyDescent="0.2">
      <c r="A1" s="182" t="s">
        <v>2905</v>
      </c>
      <c r="B1" s="411"/>
      <c r="C1" s="411"/>
      <c r="D1" s="411"/>
      <c r="E1" s="411"/>
      <c r="F1" s="411"/>
      <c r="G1" s="411"/>
      <c r="H1" s="411"/>
      <c r="I1" s="411"/>
      <c r="J1" s="411"/>
      <c r="K1" s="411"/>
      <c r="L1" s="411"/>
      <c r="M1" s="411"/>
      <c r="N1" s="411"/>
    </row>
    <row r="2" spans="1:14" ht="30" customHeight="1" x14ac:dyDescent="0.2">
      <c r="A2" s="183" t="s">
        <v>2906</v>
      </c>
      <c r="B2" s="184"/>
      <c r="C2" s="184"/>
      <c r="D2" s="184"/>
      <c r="E2" s="184"/>
      <c r="F2" s="184"/>
      <c r="G2" s="184"/>
      <c r="H2" s="184"/>
      <c r="I2" s="184"/>
      <c r="J2" s="184"/>
      <c r="K2" s="184"/>
      <c r="L2" s="184"/>
      <c r="M2" s="184"/>
      <c r="N2" s="184"/>
    </row>
    <row r="3" spans="1:14" x14ac:dyDescent="0.2">
      <c r="A3" s="494" t="s">
        <v>2907</v>
      </c>
      <c r="B3" s="416"/>
      <c r="C3" s="416"/>
      <c r="D3" s="416"/>
      <c r="E3" s="416"/>
      <c r="F3" s="416"/>
      <c r="G3" s="416"/>
      <c r="H3" s="416"/>
      <c r="I3" s="416"/>
      <c r="J3" s="416"/>
      <c r="K3" s="416"/>
      <c r="L3" s="416"/>
      <c r="M3" s="416"/>
      <c r="N3" s="416"/>
    </row>
    <row r="5" spans="1:14" ht="24" customHeight="1" x14ac:dyDescent="0.2">
      <c r="A5" s="185" t="s">
        <v>2908</v>
      </c>
      <c r="B5" s="411"/>
      <c r="C5" s="411"/>
      <c r="D5" s="411"/>
      <c r="E5" s="411"/>
      <c r="F5" s="411"/>
      <c r="G5" s="411"/>
      <c r="H5" s="411"/>
      <c r="I5" s="411"/>
      <c r="J5" s="411"/>
      <c r="K5" s="411"/>
      <c r="L5" s="411"/>
      <c r="M5" s="411"/>
      <c r="N5" s="411"/>
    </row>
    <row r="6" spans="1:14" ht="30" customHeight="1" x14ac:dyDescent="0.2">
      <c r="A6" s="410" t="s">
        <v>2684</v>
      </c>
      <c r="B6" s="410" t="s">
        <v>2909</v>
      </c>
      <c r="C6" s="410" t="s">
        <v>2910</v>
      </c>
      <c r="D6" s="410" t="s">
        <v>2911</v>
      </c>
      <c r="E6" s="410" t="s">
        <v>2912</v>
      </c>
      <c r="F6" s="410" t="s">
        <v>2913</v>
      </c>
      <c r="G6" s="410" t="s">
        <v>2914</v>
      </c>
      <c r="H6" s="410" t="s">
        <v>2915</v>
      </c>
      <c r="I6" s="410" t="s">
        <v>2916</v>
      </c>
      <c r="J6" s="410" t="s">
        <v>2917</v>
      </c>
      <c r="K6" s="410" t="s">
        <v>2918</v>
      </c>
      <c r="L6" s="410" t="s">
        <v>2919</v>
      </c>
      <c r="M6" s="410" t="s">
        <v>2920</v>
      </c>
      <c r="N6" s="410" t="s">
        <v>2921</v>
      </c>
    </row>
    <row r="7" spans="1:14" x14ac:dyDescent="0.2">
      <c r="A7" s="186" t="s">
        <v>1202</v>
      </c>
      <c r="B7" s="410">
        <v>1</v>
      </c>
      <c r="C7" s="187">
        <v>0</v>
      </c>
      <c r="D7" s="410">
        <v>6</v>
      </c>
      <c r="E7" s="410">
        <v>1</v>
      </c>
      <c r="F7" s="410">
        <v>3</v>
      </c>
      <c r="G7" s="410">
        <v>1</v>
      </c>
      <c r="H7" s="410">
        <v>1</v>
      </c>
      <c r="I7" s="410">
        <v>5</v>
      </c>
      <c r="J7" s="410">
        <v>3</v>
      </c>
      <c r="K7" s="410">
        <v>1</v>
      </c>
      <c r="L7" s="410">
        <v>2</v>
      </c>
      <c r="M7" s="187">
        <v>0</v>
      </c>
      <c r="N7" s="187">
        <f>SUM(B7:M7)</f>
        <v>24</v>
      </c>
    </row>
    <row r="8" spans="1:14" x14ac:dyDescent="0.2">
      <c r="A8" s="188" t="s">
        <v>1189</v>
      </c>
      <c r="B8" s="410">
        <v>1</v>
      </c>
      <c r="C8" s="410">
        <v>4</v>
      </c>
      <c r="D8" s="410">
        <v>1</v>
      </c>
      <c r="E8" s="189">
        <v>0</v>
      </c>
      <c r="F8" s="189">
        <v>0</v>
      </c>
      <c r="G8" s="189">
        <v>0</v>
      </c>
      <c r="H8" s="189">
        <v>0</v>
      </c>
      <c r="I8" s="189">
        <v>0</v>
      </c>
      <c r="J8" s="410">
        <v>1</v>
      </c>
      <c r="K8" s="189">
        <v>0</v>
      </c>
      <c r="L8" s="189">
        <v>0</v>
      </c>
      <c r="M8" s="189">
        <v>0</v>
      </c>
      <c r="N8" s="189">
        <f>SUM(B8:M8)</f>
        <v>7</v>
      </c>
    </row>
    <row r="9" spans="1:14" x14ac:dyDescent="0.2">
      <c r="A9" s="190" t="s">
        <v>2373</v>
      </c>
      <c r="B9" s="187">
        <v>0</v>
      </c>
      <c r="C9" s="187">
        <v>0</v>
      </c>
      <c r="D9" s="187">
        <v>0</v>
      </c>
      <c r="E9" s="187">
        <v>0</v>
      </c>
      <c r="F9" s="187">
        <v>0</v>
      </c>
      <c r="G9" s="187">
        <v>0</v>
      </c>
      <c r="H9" s="410">
        <v>4</v>
      </c>
      <c r="I9" s="187">
        <v>0</v>
      </c>
      <c r="J9" s="187">
        <v>0</v>
      </c>
      <c r="K9" s="410">
        <v>3</v>
      </c>
      <c r="L9" s="410">
        <v>2</v>
      </c>
      <c r="M9" s="410">
        <v>1</v>
      </c>
      <c r="N9" s="187">
        <f>SUM(B9:M9)</f>
        <v>10</v>
      </c>
    </row>
    <row r="10" spans="1:14" x14ac:dyDescent="0.2">
      <c r="A10" s="191" t="s">
        <v>2687</v>
      </c>
      <c r="B10" s="410">
        <v>1</v>
      </c>
      <c r="C10" s="189">
        <v>0</v>
      </c>
      <c r="D10" s="189">
        <v>0</v>
      </c>
      <c r="E10" s="410">
        <v>2</v>
      </c>
      <c r="F10" s="410">
        <v>2</v>
      </c>
      <c r="G10" s="410">
        <v>3</v>
      </c>
      <c r="H10" s="189">
        <v>0</v>
      </c>
      <c r="I10" s="410">
        <v>2</v>
      </c>
      <c r="J10" s="410">
        <v>1</v>
      </c>
      <c r="K10" s="410">
        <v>1</v>
      </c>
      <c r="L10" s="410">
        <v>1</v>
      </c>
      <c r="M10" s="189">
        <v>0</v>
      </c>
      <c r="N10" s="189">
        <f>SUM(B10:M10)</f>
        <v>13</v>
      </c>
    </row>
    <row r="11" spans="1:14" x14ac:dyDescent="0.2">
      <c r="A11" s="192" t="s">
        <v>2388</v>
      </c>
      <c r="B11" s="187">
        <v>0</v>
      </c>
      <c r="C11" s="187">
        <v>0</v>
      </c>
      <c r="D11" s="187">
        <v>0</v>
      </c>
      <c r="E11" s="187">
        <v>0</v>
      </c>
      <c r="F11" s="410">
        <v>1</v>
      </c>
      <c r="G11" s="187">
        <v>0</v>
      </c>
      <c r="H11" s="187">
        <v>0</v>
      </c>
      <c r="I11" s="187">
        <v>0</v>
      </c>
      <c r="J11" s="187">
        <v>0</v>
      </c>
      <c r="K11" s="410">
        <v>1</v>
      </c>
      <c r="L11" s="187">
        <v>0</v>
      </c>
      <c r="M11" s="410">
        <v>4</v>
      </c>
      <c r="N11" s="187">
        <f>SUM(B11:M11)</f>
        <v>6</v>
      </c>
    </row>
    <row r="12" spans="1:14" x14ac:dyDescent="0.2">
      <c r="A12" s="193" t="s">
        <v>2922</v>
      </c>
      <c r="B12" s="194">
        <f>SUM(B7:B11)</f>
        <v>3</v>
      </c>
      <c r="C12" s="194">
        <f>SUM(C7:C11)</f>
        <v>4</v>
      </c>
      <c r="D12" s="194">
        <f>SUM(D7:D11)</f>
        <v>7</v>
      </c>
      <c r="E12" s="194">
        <f>SUM(E7:E11)</f>
        <v>3</v>
      </c>
      <c r="F12" s="194">
        <f>SUM(F7:F11)</f>
        <v>6</v>
      </c>
      <c r="G12" s="194">
        <f>SUM(G7:G11)</f>
        <v>4</v>
      </c>
      <c r="H12" s="194">
        <f>SUM(H7:H11)</f>
        <v>5</v>
      </c>
      <c r="I12" s="194">
        <f>SUM(I7:I11)</f>
        <v>7</v>
      </c>
      <c r="J12" s="194">
        <f>SUM(J7:J11)</f>
        <v>5</v>
      </c>
      <c r="K12" s="194">
        <f>SUM(K7:K11)</f>
        <v>6</v>
      </c>
      <c r="L12" s="194">
        <f>SUM(L7:L11)</f>
        <v>5</v>
      </c>
      <c r="M12" s="194">
        <f>SUM(M7:M11)</f>
        <v>5</v>
      </c>
      <c r="N12" s="194">
        <f>SUM(B12:M12)</f>
        <v>60</v>
      </c>
    </row>
    <row r="13" spans="1:14" ht="26.1" customHeight="1" x14ac:dyDescent="0.2">
      <c r="A13" s="492" t="s">
        <v>2923</v>
      </c>
      <c r="B13" s="416"/>
      <c r="C13" s="416"/>
      <c r="D13" s="416"/>
      <c r="E13" s="416"/>
      <c r="F13" s="416"/>
      <c r="G13" s="416"/>
      <c r="H13" s="416"/>
      <c r="I13" s="416"/>
      <c r="J13" s="416"/>
      <c r="K13" s="416"/>
      <c r="L13" s="416"/>
      <c r="M13" s="416"/>
      <c r="N13" s="416"/>
    </row>
    <row r="15" spans="1:14" ht="24" customHeight="1" x14ac:dyDescent="0.2">
      <c r="A15" s="185" t="s">
        <v>2924</v>
      </c>
      <c r="B15" s="411"/>
      <c r="C15" s="411"/>
      <c r="D15" s="411"/>
      <c r="E15" s="411"/>
      <c r="F15" s="411"/>
      <c r="G15" s="411"/>
      <c r="H15" s="411"/>
      <c r="I15" s="411"/>
      <c r="J15" s="411"/>
      <c r="K15" s="411"/>
      <c r="L15" s="411"/>
      <c r="M15" s="411"/>
      <c r="N15" s="411"/>
    </row>
    <row r="16" spans="1:14" ht="24" customHeight="1" x14ac:dyDescent="0.2">
      <c r="A16" s="410" t="s">
        <v>2925</v>
      </c>
      <c r="B16" s="410" t="s">
        <v>2926</v>
      </c>
      <c r="C16" s="410" t="s">
        <v>2927</v>
      </c>
      <c r="D16" s="410" t="s">
        <v>2928</v>
      </c>
      <c r="E16" s="410" t="s">
        <v>2929</v>
      </c>
      <c r="F16" s="495" t="s">
        <v>2930</v>
      </c>
      <c r="G16" s="490"/>
      <c r="H16" s="490"/>
      <c r="I16" s="490"/>
      <c r="J16" s="490"/>
      <c r="K16" s="490"/>
      <c r="L16" s="490"/>
      <c r="M16" s="490"/>
      <c r="N16" s="491"/>
    </row>
    <row r="17" spans="1:14" ht="23.25" customHeight="1" x14ac:dyDescent="0.2">
      <c r="A17" s="195" t="s">
        <v>2931</v>
      </c>
      <c r="B17" s="409" t="s">
        <v>879</v>
      </c>
      <c r="C17" s="196" t="s">
        <v>1202</v>
      </c>
      <c r="D17" s="187" t="s">
        <v>882</v>
      </c>
      <c r="E17" s="187" t="s">
        <v>2932</v>
      </c>
      <c r="F17" s="489" t="s">
        <v>2933</v>
      </c>
      <c r="G17" s="490"/>
      <c r="H17" s="490"/>
      <c r="I17" s="490"/>
      <c r="J17" s="490"/>
      <c r="K17" s="490"/>
      <c r="L17" s="490"/>
      <c r="M17" s="490"/>
      <c r="N17" s="491"/>
    </row>
    <row r="18" spans="1:14" ht="34.5" customHeight="1" x14ac:dyDescent="0.2">
      <c r="A18" s="197" t="s">
        <v>2934</v>
      </c>
      <c r="B18" s="408" t="s">
        <v>890</v>
      </c>
      <c r="C18" s="198" t="s">
        <v>1189</v>
      </c>
      <c r="D18" s="189" t="s">
        <v>882</v>
      </c>
      <c r="E18" s="189" t="s">
        <v>2935</v>
      </c>
      <c r="F18" s="493" t="s">
        <v>2936</v>
      </c>
      <c r="G18" s="490"/>
      <c r="H18" s="490"/>
      <c r="I18" s="490"/>
      <c r="J18" s="490"/>
      <c r="K18" s="490"/>
      <c r="L18" s="490"/>
      <c r="M18" s="490"/>
      <c r="N18" s="491"/>
    </row>
    <row r="19" spans="1:14" ht="45.75" customHeight="1" x14ac:dyDescent="0.2">
      <c r="A19" s="195" t="s">
        <v>2937</v>
      </c>
      <c r="B19" s="409" t="s">
        <v>898</v>
      </c>
      <c r="C19" s="198" t="s">
        <v>1189</v>
      </c>
      <c r="D19" s="187" t="s">
        <v>901</v>
      </c>
      <c r="E19" s="187" t="s">
        <v>2938</v>
      </c>
      <c r="F19" s="489" t="s">
        <v>2939</v>
      </c>
      <c r="G19" s="490"/>
      <c r="H19" s="490"/>
      <c r="I19" s="490"/>
      <c r="J19" s="490"/>
      <c r="K19" s="490"/>
      <c r="L19" s="490"/>
      <c r="M19" s="490"/>
      <c r="N19" s="491"/>
    </row>
    <row r="20" spans="1:14" ht="34.5" customHeight="1" x14ac:dyDescent="0.2">
      <c r="A20" s="197" t="s">
        <v>2940</v>
      </c>
      <c r="B20" s="408" t="s">
        <v>908</v>
      </c>
      <c r="C20" s="198" t="s">
        <v>1189</v>
      </c>
      <c r="D20" s="189" t="s">
        <v>901</v>
      </c>
      <c r="E20" s="189" t="s">
        <v>2938</v>
      </c>
      <c r="F20" s="493" t="s">
        <v>2941</v>
      </c>
      <c r="G20" s="490"/>
      <c r="H20" s="490"/>
      <c r="I20" s="490"/>
      <c r="J20" s="490"/>
      <c r="K20" s="490"/>
      <c r="L20" s="490"/>
      <c r="M20" s="490"/>
      <c r="N20" s="491"/>
    </row>
    <row r="21" spans="1:14" ht="23.25" customHeight="1" x14ac:dyDescent="0.2">
      <c r="A21" s="195" t="s">
        <v>2942</v>
      </c>
      <c r="B21" s="409" t="s">
        <v>916</v>
      </c>
      <c r="C21" s="196" t="s">
        <v>1202</v>
      </c>
      <c r="D21" s="187" t="s">
        <v>919</v>
      </c>
      <c r="E21" s="187" t="s">
        <v>2943</v>
      </c>
      <c r="F21" s="489" t="s">
        <v>2944</v>
      </c>
      <c r="G21" s="490"/>
      <c r="H21" s="490"/>
      <c r="I21" s="490"/>
      <c r="J21" s="490"/>
      <c r="K21" s="490"/>
      <c r="L21" s="490"/>
      <c r="M21" s="490"/>
      <c r="N21" s="491"/>
    </row>
    <row r="22" spans="1:14" ht="34.5" customHeight="1" x14ac:dyDescent="0.2">
      <c r="A22" s="197" t="s">
        <v>2945</v>
      </c>
      <c r="B22" s="408" t="s">
        <v>926</v>
      </c>
      <c r="C22" s="196" t="s">
        <v>1202</v>
      </c>
      <c r="D22" s="189" t="s">
        <v>957</v>
      </c>
      <c r="E22" s="189" t="s">
        <v>2946</v>
      </c>
      <c r="F22" s="493" t="s">
        <v>2947</v>
      </c>
      <c r="G22" s="490"/>
      <c r="H22" s="490"/>
      <c r="I22" s="490"/>
      <c r="J22" s="490"/>
      <c r="K22" s="490"/>
      <c r="L22" s="490"/>
      <c r="M22" s="490"/>
      <c r="N22" s="491"/>
    </row>
    <row r="23" spans="1:14" ht="23.25" customHeight="1" x14ac:dyDescent="0.2">
      <c r="A23" s="195" t="s">
        <v>2948</v>
      </c>
      <c r="B23" s="409" t="s">
        <v>934</v>
      </c>
      <c r="C23" s="196" t="s">
        <v>1202</v>
      </c>
      <c r="D23" s="187" t="s">
        <v>919</v>
      </c>
      <c r="E23" s="187" t="s">
        <v>2943</v>
      </c>
      <c r="F23" s="489" t="s">
        <v>2949</v>
      </c>
      <c r="G23" s="490"/>
      <c r="H23" s="490"/>
      <c r="I23" s="490"/>
      <c r="J23" s="490"/>
      <c r="K23" s="490"/>
      <c r="L23" s="490"/>
      <c r="M23" s="490"/>
      <c r="N23" s="491"/>
    </row>
    <row r="24" spans="1:14" ht="34.5" customHeight="1" x14ac:dyDescent="0.2">
      <c r="A24" s="197" t="s">
        <v>2950</v>
      </c>
      <c r="B24" s="408" t="s">
        <v>938</v>
      </c>
      <c r="C24" s="196" t="s">
        <v>1202</v>
      </c>
      <c r="D24" s="189" t="s">
        <v>941</v>
      </c>
      <c r="E24" s="189" t="s">
        <v>2951</v>
      </c>
      <c r="F24" s="493" t="s">
        <v>2952</v>
      </c>
      <c r="G24" s="490"/>
      <c r="H24" s="490"/>
      <c r="I24" s="490"/>
      <c r="J24" s="490"/>
      <c r="K24" s="490"/>
      <c r="L24" s="490"/>
      <c r="M24" s="490"/>
      <c r="N24" s="491"/>
    </row>
    <row r="25" spans="1:14" x14ac:dyDescent="0.2">
      <c r="A25" s="195" t="s">
        <v>2953</v>
      </c>
      <c r="B25" s="409" t="s">
        <v>947</v>
      </c>
      <c r="C25" s="199" t="s">
        <v>2687</v>
      </c>
      <c r="D25" s="187" t="s">
        <v>957</v>
      </c>
      <c r="E25" s="187" t="s">
        <v>2954</v>
      </c>
      <c r="F25" s="489" t="s">
        <v>2955</v>
      </c>
      <c r="G25" s="490"/>
      <c r="H25" s="490"/>
      <c r="I25" s="490"/>
      <c r="J25" s="490"/>
      <c r="K25" s="490"/>
      <c r="L25" s="490"/>
      <c r="M25" s="490"/>
      <c r="N25" s="491"/>
    </row>
    <row r="26" spans="1:14" ht="23.25" customHeight="1" x14ac:dyDescent="0.2">
      <c r="A26" s="197" t="s">
        <v>2956</v>
      </c>
      <c r="B26" s="408" t="s">
        <v>952</v>
      </c>
      <c r="C26" s="196" t="s">
        <v>1202</v>
      </c>
      <c r="D26" s="189" t="s">
        <v>919</v>
      </c>
      <c r="E26" s="189" t="s">
        <v>2943</v>
      </c>
      <c r="F26" s="493" t="s">
        <v>2957</v>
      </c>
      <c r="G26" s="490"/>
      <c r="H26" s="490"/>
      <c r="I26" s="490"/>
      <c r="J26" s="490"/>
      <c r="K26" s="490"/>
      <c r="L26" s="490"/>
      <c r="M26" s="490"/>
      <c r="N26" s="491"/>
    </row>
    <row r="27" spans="1:14" ht="34.5" customHeight="1" x14ac:dyDescent="0.2">
      <c r="A27" s="195" t="s">
        <v>2958</v>
      </c>
      <c r="B27" s="409" t="s">
        <v>956</v>
      </c>
      <c r="C27" s="199" t="s">
        <v>2687</v>
      </c>
      <c r="D27" s="187" t="s">
        <v>957</v>
      </c>
      <c r="E27" s="187" t="s">
        <v>2954</v>
      </c>
      <c r="F27" s="489" t="s">
        <v>2959</v>
      </c>
      <c r="G27" s="490"/>
      <c r="H27" s="490"/>
      <c r="I27" s="490"/>
      <c r="J27" s="490"/>
      <c r="K27" s="490"/>
      <c r="L27" s="490"/>
      <c r="M27" s="490"/>
      <c r="N27" s="491"/>
    </row>
    <row r="28" spans="1:14" ht="23.25" customHeight="1" x14ac:dyDescent="0.2">
      <c r="A28" s="197" t="s">
        <v>2960</v>
      </c>
      <c r="B28" s="408" t="s">
        <v>961</v>
      </c>
      <c r="C28" s="199" t="s">
        <v>2687</v>
      </c>
      <c r="D28" s="189" t="s">
        <v>962</v>
      </c>
      <c r="E28" s="189" t="s">
        <v>2961</v>
      </c>
      <c r="F28" s="493" t="s">
        <v>2962</v>
      </c>
      <c r="G28" s="490"/>
      <c r="H28" s="490"/>
      <c r="I28" s="490"/>
      <c r="J28" s="490"/>
      <c r="K28" s="490"/>
      <c r="L28" s="490"/>
      <c r="M28" s="490"/>
      <c r="N28" s="491"/>
    </row>
    <row r="29" spans="1:14" ht="45.75" customHeight="1" x14ac:dyDescent="0.2">
      <c r="A29" s="195" t="s">
        <v>2963</v>
      </c>
      <c r="B29" s="409" t="s">
        <v>967</v>
      </c>
      <c r="C29" s="199" t="s">
        <v>2687</v>
      </c>
      <c r="D29" s="187" t="s">
        <v>962</v>
      </c>
      <c r="E29" s="187" t="s">
        <v>2961</v>
      </c>
      <c r="F29" s="489" t="s">
        <v>2964</v>
      </c>
      <c r="G29" s="490"/>
      <c r="H29" s="490"/>
      <c r="I29" s="490"/>
      <c r="J29" s="490"/>
      <c r="K29" s="490"/>
      <c r="L29" s="490"/>
      <c r="M29" s="490"/>
      <c r="N29" s="491"/>
    </row>
    <row r="30" spans="1:14" ht="23.25" customHeight="1" x14ac:dyDescent="0.2">
      <c r="A30" s="197" t="s">
        <v>2965</v>
      </c>
      <c r="B30" s="408" t="s">
        <v>971</v>
      </c>
      <c r="C30" s="196" t="s">
        <v>1202</v>
      </c>
      <c r="D30" s="189" t="s">
        <v>972</v>
      </c>
      <c r="E30" s="189" t="s">
        <v>2966</v>
      </c>
      <c r="F30" s="493" t="s">
        <v>2967</v>
      </c>
      <c r="G30" s="490"/>
      <c r="H30" s="490"/>
      <c r="I30" s="490"/>
      <c r="J30" s="490"/>
      <c r="K30" s="490"/>
      <c r="L30" s="490"/>
      <c r="M30" s="490"/>
      <c r="N30" s="491"/>
    </row>
    <row r="31" spans="1:14" ht="23.25" customHeight="1" x14ac:dyDescent="0.2">
      <c r="A31" s="195" t="s">
        <v>2968</v>
      </c>
      <c r="B31" s="409" t="s">
        <v>978</v>
      </c>
      <c r="C31" s="200" t="s">
        <v>2373</v>
      </c>
      <c r="D31" s="187" t="s">
        <v>972</v>
      </c>
      <c r="E31" s="187" t="s">
        <v>2969</v>
      </c>
      <c r="F31" s="489" t="s">
        <v>2970</v>
      </c>
      <c r="G31" s="490"/>
      <c r="H31" s="490"/>
      <c r="I31" s="490"/>
      <c r="J31" s="490"/>
      <c r="K31" s="490"/>
      <c r="L31" s="490"/>
      <c r="M31" s="490"/>
      <c r="N31" s="491"/>
    </row>
    <row r="32" spans="1:14" ht="34.5" customHeight="1" x14ac:dyDescent="0.2">
      <c r="A32" s="197" t="s">
        <v>2971</v>
      </c>
      <c r="B32" s="408" t="s">
        <v>983</v>
      </c>
      <c r="C32" s="196" t="s">
        <v>1202</v>
      </c>
      <c r="D32" s="189" t="s">
        <v>984</v>
      </c>
      <c r="E32" s="189" t="s">
        <v>2972</v>
      </c>
      <c r="F32" s="493" t="s">
        <v>2973</v>
      </c>
      <c r="G32" s="490"/>
      <c r="H32" s="490"/>
      <c r="I32" s="490"/>
      <c r="J32" s="490"/>
      <c r="K32" s="490"/>
      <c r="L32" s="490"/>
      <c r="M32" s="490"/>
      <c r="N32" s="491"/>
    </row>
    <row r="33" spans="1:14" ht="23.25" customHeight="1" x14ac:dyDescent="0.2">
      <c r="A33" s="195" t="s">
        <v>2974</v>
      </c>
      <c r="B33" s="409" t="s">
        <v>989</v>
      </c>
      <c r="C33" s="196" t="s">
        <v>1202</v>
      </c>
      <c r="D33" s="187" t="s">
        <v>1114</v>
      </c>
      <c r="E33" s="187" t="s">
        <v>2975</v>
      </c>
      <c r="F33" s="489" t="s">
        <v>2976</v>
      </c>
      <c r="G33" s="490"/>
      <c r="H33" s="490"/>
      <c r="I33" s="490"/>
      <c r="J33" s="490"/>
      <c r="K33" s="490"/>
      <c r="L33" s="490"/>
      <c r="M33" s="490"/>
      <c r="N33" s="491"/>
    </row>
    <row r="34" spans="1:14" x14ac:dyDescent="0.2">
      <c r="A34" s="197" t="s">
        <v>2977</v>
      </c>
      <c r="B34" s="408" t="s">
        <v>995</v>
      </c>
      <c r="C34" s="199" t="s">
        <v>2687</v>
      </c>
      <c r="D34" s="189" t="s">
        <v>984</v>
      </c>
      <c r="E34" s="189" t="s">
        <v>2978</v>
      </c>
      <c r="F34" s="493" t="s">
        <v>2979</v>
      </c>
      <c r="G34" s="490"/>
      <c r="H34" s="490"/>
      <c r="I34" s="490"/>
      <c r="J34" s="490"/>
      <c r="K34" s="490"/>
      <c r="L34" s="490"/>
      <c r="M34" s="490"/>
      <c r="N34" s="491"/>
    </row>
    <row r="35" spans="1:14" ht="23.25" customHeight="1" x14ac:dyDescent="0.2">
      <c r="A35" s="195" t="s">
        <v>2980</v>
      </c>
      <c r="B35" s="409" t="s">
        <v>1001</v>
      </c>
      <c r="C35" s="201" t="s">
        <v>2388</v>
      </c>
      <c r="D35" s="187" t="s">
        <v>1470</v>
      </c>
      <c r="E35" s="187" t="s">
        <v>2981</v>
      </c>
      <c r="F35" s="489" t="s">
        <v>2982</v>
      </c>
      <c r="G35" s="490"/>
      <c r="H35" s="490"/>
      <c r="I35" s="490"/>
      <c r="J35" s="490"/>
      <c r="K35" s="490"/>
      <c r="L35" s="490"/>
      <c r="M35" s="490"/>
      <c r="N35" s="491"/>
    </row>
    <row r="36" spans="1:14" ht="23.25" customHeight="1" x14ac:dyDescent="0.2">
      <c r="A36" s="197" t="s">
        <v>2983</v>
      </c>
      <c r="B36" s="408" t="s">
        <v>1008</v>
      </c>
      <c r="C36" s="196" t="s">
        <v>1202</v>
      </c>
      <c r="D36" s="189" t="s">
        <v>941</v>
      </c>
      <c r="E36" s="189" t="s">
        <v>2951</v>
      </c>
      <c r="F36" s="493" t="s">
        <v>2984</v>
      </c>
      <c r="G36" s="490"/>
      <c r="H36" s="490"/>
      <c r="I36" s="490"/>
      <c r="J36" s="490"/>
      <c r="K36" s="490"/>
      <c r="L36" s="490"/>
      <c r="M36" s="490"/>
      <c r="N36" s="491"/>
    </row>
    <row r="37" spans="1:14" ht="23.25" customHeight="1" x14ac:dyDescent="0.2">
      <c r="A37" s="195" t="s">
        <v>2985</v>
      </c>
      <c r="B37" s="409" t="s">
        <v>1013</v>
      </c>
      <c r="C37" s="196" t="s">
        <v>1202</v>
      </c>
      <c r="D37" s="187" t="s">
        <v>1016</v>
      </c>
      <c r="E37" s="187" t="s">
        <v>2986</v>
      </c>
      <c r="F37" s="489" t="s">
        <v>2987</v>
      </c>
      <c r="G37" s="490"/>
      <c r="H37" s="490"/>
      <c r="I37" s="490"/>
      <c r="J37" s="490"/>
      <c r="K37" s="490"/>
      <c r="L37" s="490"/>
      <c r="M37" s="490"/>
      <c r="N37" s="491"/>
    </row>
    <row r="38" spans="1:14" ht="23.25" customHeight="1" x14ac:dyDescent="0.2">
      <c r="A38" s="197" t="s">
        <v>2988</v>
      </c>
      <c r="B38" s="408" t="s">
        <v>1022</v>
      </c>
      <c r="C38" s="199" t="s">
        <v>2687</v>
      </c>
      <c r="D38" s="189" t="s">
        <v>1016</v>
      </c>
      <c r="E38" s="189" t="s">
        <v>2989</v>
      </c>
      <c r="F38" s="493" t="s">
        <v>2990</v>
      </c>
      <c r="G38" s="490"/>
      <c r="H38" s="490"/>
      <c r="I38" s="490"/>
      <c r="J38" s="490"/>
      <c r="K38" s="490"/>
      <c r="L38" s="490"/>
      <c r="M38" s="490"/>
      <c r="N38" s="491"/>
    </row>
    <row r="39" spans="1:14" ht="23.25" customHeight="1" x14ac:dyDescent="0.2">
      <c r="A39" s="195" t="s">
        <v>2991</v>
      </c>
      <c r="B39" s="409" t="s">
        <v>1026</v>
      </c>
      <c r="C39" s="199" t="s">
        <v>2687</v>
      </c>
      <c r="D39" s="187" t="s">
        <v>1470</v>
      </c>
      <c r="E39" s="187" t="s">
        <v>2992</v>
      </c>
      <c r="F39" s="489" t="s">
        <v>2993</v>
      </c>
      <c r="G39" s="490"/>
      <c r="H39" s="490"/>
      <c r="I39" s="490"/>
      <c r="J39" s="490"/>
      <c r="K39" s="490"/>
      <c r="L39" s="490"/>
      <c r="M39" s="490"/>
      <c r="N39" s="491"/>
    </row>
    <row r="40" spans="1:14" ht="23.25" customHeight="1" x14ac:dyDescent="0.2">
      <c r="A40" s="197" t="s">
        <v>2994</v>
      </c>
      <c r="B40" s="408" t="s">
        <v>1031</v>
      </c>
      <c r="C40" s="198" t="s">
        <v>1189</v>
      </c>
      <c r="D40" s="189" t="s">
        <v>1114</v>
      </c>
      <c r="E40" s="189" t="s">
        <v>2995</v>
      </c>
      <c r="F40" s="493" t="s">
        <v>2996</v>
      </c>
      <c r="G40" s="490"/>
      <c r="H40" s="490"/>
      <c r="I40" s="490"/>
      <c r="J40" s="490"/>
      <c r="K40" s="490"/>
      <c r="L40" s="490"/>
      <c r="M40" s="490"/>
      <c r="N40" s="491"/>
    </row>
    <row r="41" spans="1:14" ht="23.25" customHeight="1" x14ac:dyDescent="0.2">
      <c r="A41" s="195" t="s">
        <v>2997</v>
      </c>
      <c r="B41" s="409" t="s">
        <v>1035</v>
      </c>
      <c r="C41" s="199" t="s">
        <v>2687</v>
      </c>
      <c r="D41" s="187" t="s">
        <v>1114</v>
      </c>
      <c r="E41" s="187" t="s">
        <v>2998</v>
      </c>
      <c r="F41" s="489" t="s">
        <v>2999</v>
      </c>
      <c r="G41" s="490"/>
      <c r="H41" s="490"/>
      <c r="I41" s="490"/>
      <c r="J41" s="490"/>
      <c r="K41" s="490"/>
      <c r="L41" s="490"/>
      <c r="M41" s="490"/>
      <c r="N41" s="491"/>
    </row>
    <row r="42" spans="1:14" ht="23.25" customHeight="1" x14ac:dyDescent="0.2">
      <c r="A42" s="197" t="s">
        <v>3000</v>
      </c>
      <c r="B42" s="408" t="s">
        <v>1040</v>
      </c>
      <c r="C42" s="196" t="s">
        <v>1202</v>
      </c>
      <c r="D42" s="189" t="s">
        <v>919</v>
      </c>
      <c r="E42" s="189" t="s">
        <v>2943</v>
      </c>
      <c r="F42" s="493" t="s">
        <v>3001</v>
      </c>
      <c r="G42" s="490"/>
      <c r="H42" s="490"/>
      <c r="I42" s="490"/>
      <c r="J42" s="490"/>
      <c r="K42" s="490"/>
      <c r="L42" s="490"/>
      <c r="M42" s="490"/>
      <c r="N42" s="491"/>
    </row>
    <row r="43" spans="1:14" ht="23.25" customHeight="1" x14ac:dyDescent="0.2">
      <c r="A43" s="195" t="s">
        <v>3002</v>
      </c>
      <c r="B43" s="409" t="s">
        <v>1045</v>
      </c>
      <c r="C43" s="200" t="s">
        <v>2373</v>
      </c>
      <c r="D43" s="187" t="s">
        <v>1470</v>
      </c>
      <c r="E43" s="187" t="s">
        <v>3003</v>
      </c>
      <c r="F43" s="489" t="s">
        <v>3004</v>
      </c>
      <c r="G43" s="490"/>
      <c r="H43" s="490"/>
      <c r="I43" s="490"/>
      <c r="J43" s="490"/>
      <c r="K43" s="490"/>
      <c r="L43" s="490"/>
      <c r="M43" s="490"/>
      <c r="N43" s="491"/>
    </row>
    <row r="44" spans="1:14" ht="23.25" customHeight="1" x14ac:dyDescent="0.2">
      <c r="A44" s="197" t="s">
        <v>3005</v>
      </c>
      <c r="B44" s="408" t="s">
        <v>1050</v>
      </c>
      <c r="C44" s="200" t="s">
        <v>2373</v>
      </c>
      <c r="D44" s="189" t="s">
        <v>1470</v>
      </c>
      <c r="E44" s="189" t="s">
        <v>3003</v>
      </c>
      <c r="F44" s="493" t="s">
        <v>3006</v>
      </c>
      <c r="G44" s="490"/>
      <c r="H44" s="490"/>
      <c r="I44" s="490"/>
      <c r="J44" s="490"/>
      <c r="K44" s="490"/>
      <c r="L44" s="490"/>
      <c r="M44" s="490"/>
      <c r="N44" s="491"/>
    </row>
    <row r="45" spans="1:14" ht="23.25" customHeight="1" x14ac:dyDescent="0.2">
      <c r="A45" s="195" t="s">
        <v>3007</v>
      </c>
      <c r="B45" s="409" t="s">
        <v>1055</v>
      </c>
      <c r="C45" s="200" t="s">
        <v>2373</v>
      </c>
      <c r="D45" s="187" t="s">
        <v>1016</v>
      </c>
      <c r="E45" s="187" t="s">
        <v>3008</v>
      </c>
      <c r="F45" s="489" t="s">
        <v>3009</v>
      </c>
      <c r="G45" s="490"/>
      <c r="H45" s="490"/>
      <c r="I45" s="490"/>
      <c r="J45" s="490"/>
      <c r="K45" s="490"/>
      <c r="L45" s="490"/>
      <c r="M45" s="490"/>
      <c r="N45" s="491"/>
    </row>
    <row r="46" spans="1:14" ht="23.25" customHeight="1" x14ac:dyDescent="0.2">
      <c r="A46" s="197" t="s">
        <v>3010</v>
      </c>
      <c r="B46" s="408" t="s">
        <v>1061</v>
      </c>
      <c r="C46" s="199" t="s">
        <v>2687</v>
      </c>
      <c r="D46" s="189" t="s">
        <v>984</v>
      </c>
      <c r="E46" s="189" t="s">
        <v>2978</v>
      </c>
      <c r="F46" s="493" t="s">
        <v>3011</v>
      </c>
      <c r="G46" s="490"/>
      <c r="H46" s="490"/>
      <c r="I46" s="490"/>
      <c r="J46" s="490"/>
      <c r="K46" s="490"/>
      <c r="L46" s="490"/>
      <c r="M46" s="490"/>
      <c r="N46" s="491"/>
    </row>
    <row r="47" spans="1:14" ht="34.5" customHeight="1" x14ac:dyDescent="0.2">
      <c r="A47" s="195" t="s">
        <v>3012</v>
      </c>
      <c r="B47" s="409" t="s">
        <v>1066</v>
      </c>
      <c r="C47" s="201" t="s">
        <v>2388</v>
      </c>
      <c r="D47" s="187" t="s">
        <v>941</v>
      </c>
      <c r="E47" s="187" t="s">
        <v>3013</v>
      </c>
      <c r="F47" s="489" t="s">
        <v>3014</v>
      </c>
      <c r="G47" s="490"/>
      <c r="H47" s="490"/>
      <c r="I47" s="490"/>
      <c r="J47" s="490"/>
      <c r="K47" s="490"/>
      <c r="L47" s="490"/>
      <c r="M47" s="490"/>
      <c r="N47" s="491"/>
    </row>
    <row r="48" spans="1:14" ht="23.25" customHeight="1" x14ac:dyDescent="0.2">
      <c r="A48" s="197" t="s">
        <v>3015</v>
      </c>
      <c r="B48" s="408" t="s">
        <v>1071</v>
      </c>
      <c r="C48" s="196" t="s">
        <v>1202</v>
      </c>
      <c r="D48" s="189" t="s">
        <v>1016</v>
      </c>
      <c r="E48" s="189" t="s">
        <v>2986</v>
      </c>
      <c r="F48" s="493" t="s">
        <v>3016</v>
      </c>
      <c r="G48" s="490"/>
      <c r="H48" s="490"/>
      <c r="I48" s="490"/>
      <c r="J48" s="490"/>
      <c r="K48" s="490"/>
      <c r="L48" s="490"/>
      <c r="M48" s="490"/>
      <c r="N48" s="491"/>
    </row>
    <row r="49" spans="1:14" x14ac:dyDescent="0.2">
      <c r="A49" s="195" t="s">
        <v>3017</v>
      </c>
      <c r="B49" s="409" t="s">
        <v>1075</v>
      </c>
      <c r="C49" s="199" t="s">
        <v>2687</v>
      </c>
      <c r="D49" s="187" t="s">
        <v>962</v>
      </c>
      <c r="E49" s="187" t="s">
        <v>2961</v>
      </c>
      <c r="F49" s="489" t="s">
        <v>3018</v>
      </c>
      <c r="G49" s="490"/>
      <c r="H49" s="490"/>
      <c r="I49" s="490"/>
      <c r="J49" s="490"/>
      <c r="K49" s="490"/>
      <c r="L49" s="490"/>
      <c r="M49" s="490"/>
      <c r="N49" s="491"/>
    </row>
    <row r="50" spans="1:14" ht="34.5" customHeight="1" x14ac:dyDescent="0.2">
      <c r="A50" s="197" t="s">
        <v>3019</v>
      </c>
      <c r="B50" s="408" t="s">
        <v>1080</v>
      </c>
      <c r="C50" s="199" t="s">
        <v>2687</v>
      </c>
      <c r="D50" s="189" t="s">
        <v>941</v>
      </c>
      <c r="E50" s="189" t="s">
        <v>3020</v>
      </c>
      <c r="F50" s="493" t="s">
        <v>3021</v>
      </c>
      <c r="G50" s="490"/>
      <c r="H50" s="490"/>
      <c r="I50" s="490"/>
      <c r="J50" s="490"/>
      <c r="K50" s="490"/>
      <c r="L50" s="490"/>
      <c r="M50" s="490"/>
      <c r="N50" s="491"/>
    </row>
    <row r="51" spans="1:14" ht="23.25" customHeight="1" x14ac:dyDescent="0.2">
      <c r="A51" s="195" t="s">
        <v>3022</v>
      </c>
      <c r="B51" s="409" t="s">
        <v>1085</v>
      </c>
      <c r="C51" s="196" t="s">
        <v>1202</v>
      </c>
      <c r="D51" s="187" t="s">
        <v>984</v>
      </c>
      <c r="E51" s="187" t="s">
        <v>2972</v>
      </c>
      <c r="F51" s="489" t="s">
        <v>3023</v>
      </c>
      <c r="G51" s="490"/>
      <c r="H51" s="490"/>
      <c r="I51" s="490"/>
      <c r="J51" s="490"/>
      <c r="K51" s="490"/>
      <c r="L51" s="490"/>
      <c r="M51" s="490"/>
      <c r="N51" s="491"/>
    </row>
    <row r="52" spans="1:14" ht="34.5" customHeight="1" x14ac:dyDescent="0.2">
      <c r="A52" s="197" t="s">
        <v>3024</v>
      </c>
      <c r="B52" s="408" t="s">
        <v>1090</v>
      </c>
      <c r="C52" s="200" t="s">
        <v>2373</v>
      </c>
      <c r="D52" s="189" t="s">
        <v>1091</v>
      </c>
      <c r="E52" s="189" t="s">
        <v>3025</v>
      </c>
      <c r="F52" s="493" t="s">
        <v>3026</v>
      </c>
      <c r="G52" s="490"/>
      <c r="H52" s="490"/>
      <c r="I52" s="490"/>
      <c r="J52" s="490"/>
      <c r="K52" s="490"/>
      <c r="L52" s="490"/>
      <c r="M52" s="490"/>
      <c r="N52" s="491"/>
    </row>
    <row r="53" spans="1:14" ht="34.5" customHeight="1" x14ac:dyDescent="0.2">
      <c r="A53" s="195" t="s">
        <v>3027</v>
      </c>
      <c r="B53" s="409" t="s">
        <v>1095</v>
      </c>
      <c r="C53" s="201" t="s">
        <v>2388</v>
      </c>
      <c r="D53" s="187" t="s">
        <v>1091</v>
      </c>
      <c r="E53" s="187" t="s">
        <v>3028</v>
      </c>
      <c r="F53" s="489" t="s">
        <v>3029</v>
      </c>
      <c r="G53" s="490"/>
      <c r="H53" s="490"/>
      <c r="I53" s="490"/>
      <c r="J53" s="490"/>
      <c r="K53" s="490"/>
      <c r="L53" s="490"/>
      <c r="M53" s="490"/>
      <c r="N53" s="491"/>
    </row>
    <row r="54" spans="1:14" ht="23.25" customHeight="1" x14ac:dyDescent="0.2">
      <c r="A54" s="197" t="s">
        <v>3030</v>
      </c>
      <c r="B54" s="408" t="s">
        <v>1108</v>
      </c>
      <c r="C54" s="196" t="s">
        <v>1202</v>
      </c>
      <c r="D54" s="189" t="s">
        <v>941</v>
      </c>
      <c r="E54" s="189" t="s">
        <v>2951</v>
      </c>
      <c r="F54" s="493" t="s">
        <v>3031</v>
      </c>
      <c r="G54" s="490"/>
      <c r="H54" s="490"/>
      <c r="I54" s="490"/>
      <c r="J54" s="490"/>
      <c r="K54" s="490"/>
      <c r="L54" s="490"/>
      <c r="M54" s="490"/>
      <c r="N54" s="491"/>
    </row>
    <row r="55" spans="1:14" ht="23.25" customHeight="1" x14ac:dyDescent="0.2">
      <c r="A55" s="195" t="s">
        <v>3032</v>
      </c>
      <c r="B55" s="409" t="s">
        <v>1110</v>
      </c>
      <c r="C55" s="196" t="s">
        <v>1202</v>
      </c>
      <c r="D55" s="187" t="s">
        <v>984</v>
      </c>
      <c r="E55" s="187" t="s">
        <v>2972</v>
      </c>
      <c r="F55" s="489" t="s">
        <v>3033</v>
      </c>
      <c r="G55" s="490"/>
      <c r="H55" s="490"/>
      <c r="I55" s="490"/>
      <c r="J55" s="490"/>
      <c r="K55" s="490"/>
      <c r="L55" s="490"/>
      <c r="M55" s="490"/>
      <c r="N55" s="491"/>
    </row>
    <row r="56" spans="1:14" ht="23.25" customHeight="1" x14ac:dyDescent="0.2">
      <c r="A56" s="197" t="s">
        <v>3034</v>
      </c>
      <c r="B56" s="408" t="s">
        <v>1111</v>
      </c>
      <c r="C56" s="196" t="s">
        <v>1202</v>
      </c>
      <c r="D56" s="189" t="s">
        <v>1114</v>
      </c>
      <c r="E56" s="189" t="s">
        <v>2975</v>
      </c>
      <c r="F56" s="493" t="s">
        <v>3035</v>
      </c>
      <c r="G56" s="490"/>
      <c r="H56" s="490"/>
      <c r="I56" s="490"/>
      <c r="J56" s="490"/>
      <c r="K56" s="490"/>
      <c r="L56" s="490"/>
      <c r="M56" s="490"/>
      <c r="N56" s="491"/>
    </row>
    <row r="57" spans="1:14" ht="23.25" customHeight="1" x14ac:dyDescent="0.2">
      <c r="A57" s="195" t="s">
        <v>3036</v>
      </c>
      <c r="B57" s="409" t="s">
        <v>1113</v>
      </c>
      <c r="C57" s="196" t="s">
        <v>1202</v>
      </c>
      <c r="D57" s="187" t="s">
        <v>1114</v>
      </c>
      <c r="E57" s="187" t="s">
        <v>2975</v>
      </c>
      <c r="F57" s="489" t="s">
        <v>3037</v>
      </c>
      <c r="G57" s="490"/>
      <c r="H57" s="490"/>
      <c r="I57" s="490"/>
      <c r="J57" s="490"/>
      <c r="K57" s="490"/>
      <c r="L57" s="490"/>
      <c r="M57" s="490"/>
      <c r="N57" s="491"/>
    </row>
    <row r="58" spans="1:14" ht="23.25" customHeight="1" x14ac:dyDescent="0.2">
      <c r="A58" s="197" t="s">
        <v>3038</v>
      </c>
      <c r="B58" s="408" t="s">
        <v>1115</v>
      </c>
      <c r="C58" s="196" t="s">
        <v>1202</v>
      </c>
      <c r="D58" s="189" t="s">
        <v>919</v>
      </c>
      <c r="E58" s="189" t="s">
        <v>2943</v>
      </c>
      <c r="F58" s="493" t="s">
        <v>3039</v>
      </c>
      <c r="G58" s="490"/>
      <c r="H58" s="490"/>
      <c r="I58" s="490"/>
      <c r="J58" s="490"/>
      <c r="K58" s="490"/>
      <c r="L58" s="490"/>
      <c r="M58" s="490"/>
      <c r="N58" s="491"/>
    </row>
    <row r="59" spans="1:14" ht="23.25" customHeight="1" x14ac:dyDescent="0.2">
      <c r="A59" s="195" t="s">
        <v>3040</v>
      </c>
      <c r="B59" s="409" t="s">
        <v>1117</v>
      </c>
      <c r="C59" s="198" t="s">
        <v>1189</v>
      </c>
      <c r="D59" s="187" t="s">
        <v>919</v>
      </c>
      <c r="E59" s="187" t="s">
        <v>3041</v>
      </c>
      <c r="F59" s="489" t="s">
        <v>3042</v>
      </c>
      <c r="G59" s="490"/>
      <c r="H59" s="490"/>
      <c r="I59" s="490"/>
      <c r="J59" s="490"/>
      <c r="K59" s="490"/>
      <c r="L59" s="490"/>
      <c r="M59" s="490"/>
      <c r="N59" s="491"/>
    </row>
    <row r="60" spans="1:14" ht="23.25" customHeight="1" x14ac:dyDescent="0.2">
      <c r="A60" s="197" t="s">
        <v>3043</v>
      </c>
      <c r="B60" s="408" t="s">
        <v>1119</v>
      </c>
      <c r="C60" s="196" t="s">
        <v>1202</v>
      </c>
      <c r="D60" s="189" t="s">
        <v>919</v>
      </c>
      <c r="E60" s="189" t="s">
        <v>2943</v>
      </c>
      <c r="F60" s="493" t="s">
        <v>3044</v>
      </c>
      <c r="G60" s="490"/>
      <c r="H60" s="490"/>
      <c r="I60" s="490"/>
      <c r="J60" s="490"/>
      <c r="K60" s="490"/>
      <c r="L60" s="490"/>
      <c r="M60" s="490"/>
      <c r="N60" s="491"/>
    </row>
    <row r="61" spans="1:14" ht="23.25" customHeight="1" x14ac:dyDescent="0.2">
      <c r="A61" s="195" t="s">
        <v>3045</v>
      </c>
      <c r="B61" s="409" t="s">
        <v>1120</v>
      </c>
      <c r="C61" s="200" t="s">
        <v>2373</v>
      </c>
      <c r="D61" s="187" t="s">
        <v>972</v>
      </c>
      <c r="E61" s="187" t="s">
        <v>2969</v>
      </c>
      <c r="F61" s="489" t="s">
        <v>3046</v>
      </c>
      <c r="G61" s="490"/>
      <c r="H61" s="490"/>
      <c r="I61" s="490"/>
      <c r="J61" s="490"/>
      <c r="K61" s="490"/>
      <c r="L61" s="490"/>
      <c r="M61" s="490"/>
      <c r="N61" s="491"/>
    </row>
    <row r="62" spans="1:14" ht="23.25" customHeight="1" x14ac:dyDescent="0.2">
      <c r="A62" s="197" t="s">
        <v>3047</v>
      </c>
      <c r="B62" s="408" t="s">
        <v>1121</v>
      </c>
      <c r="C62" s="200" t="s">
        <v>2373</v>
      </c>
      <c r="D62" s="189" t="s">
        <v>1470</v>
      </c>
      <c r="E62" s="189" t="s">
        <v>3003</v>
      </c>
      <c r="F62" s="493" t="s">
        <v>3048</v>
      </c>
      <c r="G62" s="490"/>
      <c r="H62" s="490"/>
      <c r="I62" s="490"/>
      <c r="J62" s="490"/>
      <c r="K62" s="490"/>
      <c r="L62" s="490"/>
      <c r="M62" s="490"/>
      <c r="N62" s="491"/>
    </row>
    <row r="63" spans="1:14" ht="23.25" customHeight="1" x14ac:dyDescent="0.2">
      <c r="A63" s="195" t="s">
        <v>3049</v>
      </c>
      <c r="B63" s="409" t="s">
        <v>1123</v>
      </c>
      <c r="C63" s="200" t="s">
        <v>2373</v>
      </c>
      <c r="D63" s="187" t="s">
        <v>972</v>
      </c>
      <c r="E63" s="187" t="s">
        <v>2969</v>
      </c>
      <c r="F63" s="489" t="s">
        <v>3050</v>
      </c>
      <c r="G63" s="490"/>
      <c r="H63" s="490"/>
      <c r="I63" s="490"/>
      <c r="J63" s="490"/>
      <c r="K63" s="490"/>
      <c r="L63" s="490"/>
      <c r="M63" s="490"/>
      <c r="N63" s="491"/>
    </row>
    <row r="64" spans="1:14" ht="23.25" customHeight="1" x14ac:dyDescent="0.2">
      <c r="A64" s="197" t="s">
        <v>3051</v>
      </c>
      <c r="B64" s="408" t="s">
        <v>1125</v>
      </c>
      <c r="C64" s="196" t="s">
        <v>1202</v>
      </c>
      <c r="D64" s="189" t="s">
        <v>962</v>
      </c>
      <c r="E64" s="189" t="s">
        <v>3052</v>
      </c>
      <c r="F64" s="493" t="s">
        <v>3053</v>
      </c>
      <c r="G64" s="490"/>
      <c r="H64" s="490"/>
      <c r="I64" s="490"/>
      <c r="J64" s="490"/>
      <c r="K64" s="490"/>
      <c r="L64" s="490"/>
      <c r="M64" s="490"/>
      <c r="N64" s="491"/>
    </row>
    <row r="65" spans="1:14" ht="23.25" customHeight="1" x14ac:dyDescent="0.2">
      <c r="A65" s="195" t="s">
        <v>3054</v>
      </c>
      <c r="B65" s="409" t="s">
        <v>1126</v>
      </c>
      <c r="C65" s="196" t="s">
        <v>1202</v>
      </c>
      <c r="D65" s="187" t="s">
        <v>1470</v>
      </c>
      <c r="E65" s="187" t="s">
        <v>3055</v>
      </c>
      <c r="F65" s="489" t="s">
        <v>3056</v>
      </c>
      <c r="G65" s="490"/>
      <c r="H65" s="490"/>
      <c r="I65" s="490"/>
      <c r="J65" s="490"/>
      <c r="K65" s="490"/>
      <c r="L65" s="490"/>
      <c r="M65" s="490"/>
      <c r="N65" s="491"/>
    </row>
    <row r="66" spans="1:14" ht="23.25" customHeight="1" x14ac:dyDescent="0.2">
      <c r="A66" s="197" t="s">
        <v>3057</v>
      </c>
      <c r="B66" s="408" t="s">
        <v>1127</v>
      </c>
      <c r="C66" s="196" t="s">
        <v>1202</v>
      </c>
      <c r="D66" s="189" t="s">
        <v>984</v>
      </c>
      <c r="E66" s="189" t="s">
        <v>2972</v>
      </c>
      <c r="F66" s="493" t="s">
        <v>3058</v>
      </c>
      <c r="G66" s="490"/>
      <c r="H66" s="490"/>
      <c r="I66" s="490"/>
      <c r="J66" s="490"/>
      <c r="K66" s="490"/>
      <c r="L66" s="490"/>
      <c r="M66" s="490"/>
      <c r="N66" s="491"/>
    </row>
    <row r="67" spans="1:14" ht="23.25" customHeight="1" x14ac:dyDescent="0.2">
      <c r="A67" s="195" t="s">
        <v>3059</v>
      </c>
      <c r="B67" s="409" t="s">
        <v>1129</v>
      </c>
      <c r="C67" s="199" t="s">
        <v>2687</v>
      </c>
      <c r="D67" s="187" t="s">
        <v>941</v>
      </c>
      <c r="E67" s="187" t="s">
        <v>3020</v>
      </c>
      <c r="F67" s="489" t="s">
        <v>3060</v>
      </c>
      <c r="G67" s="490"/>
      <c r="H67" s="490"/>
      <c r="I67" s="490"/>
      <c r="J67" s="490"/>
      <c r="K67" s="490"/>
      <c r="L67" s="490"/>
      <c r="M67" s="490"/>
      <c r="N67" s="491"/>
    </row>
    <row r="68" spans="1:14" ht="23.25" customHeight="1" x14ac:dyDescent="0.2">
      <c r="A68" s="197" t="s">
        <v>3061</v>
      </c>
      <c r="B68" s="408" t="s">
        <v>1131</v>
      </c>
      <c r="C68" s="198" t="s">
        <v>1189</v>
      </c>
      <c r="D68" s="189" t="s">
        <v>901</v>
      </c>
      <c r="E68" s="189" t="s">
        <v>2938</v>
      </c>
      <c r="F68" s="493" t="s">
        <v>3062</v>
      </c>
      <c r="G68" s="490"/>
      <c r="H68" s="490"/>
      <c r="I68" s="490"/>
      <c r="J68" s="490"/>
      <c r="K68" s="490"/>
      <c r="L68" s="490"/>
      <c r="M68" s="490"/>
      <c r="N68" s="491"/>
    </row>
    <row r="69" spans="1:14" ht="34.5" customHeight="1" x14ac:dyDescent="0.2">
      <c r="A69" s="195" t="s">
        <v>3063</v>
      </c>
      <c r="B69" s="409" t="s">
        <v>1133</v>
      </c>
      <c r="C69" s="201" t="s">
        <v>2388</v>
      </c>
      <c r="D69" s="187" t="s">
        <v>1091</v>
      </c>
      <c r="E69" s="187" t="s">
        <v>3028</v>
      </c>
      <c r="F69" s="489" t="s">
        <v>3064</v>
      </c>
      <c r="G69" s="490"/>
      <c r="H69" s="490"/>
      <c r="I69" s="490"/>
      <c r="J69" s="490"/>
      <c r="K69" s="490"/>
      <c r="L69" s="490"/>
      <c r="M69" s="490"/>
      <c r="N69" s="491"/>
    </row>
    <row r="70" spans="1:14" ht="34.5" customHeight="1" x14ac:dyDescent="0.2">
      <c r="A70" s="197" t="s">
        <v>3065</v>
      </c>
      <c r="B70" s="408" t="s">
        <v>1134</v>
      </c>
      <c r="C70" s="201" t="s">
        <v>2388</v>
      </c>
      <c r="D70" s="189" t="s">
        <v>1091</v>
      </c>
      <c r="E70" s="189" t="s">
        <v>3028</v>
      </c>
      <c r="F70" s="493" t="s">
        <v>3066</v>
      </c>
      <c r="G70" s="490"/>
      <c r="H70" s="490"/>
      <c r="I70" s="490"/>
      <c r="J70" s="490"/>
      <c r="K70" s="490"/>
      <c r="L70" s="490"/>
      <c r="M70" s="490"/>
      <c r="N70" s="491"/>
    </row>
    <row r="71" spans="1:14" ht="34.5" customHeight="1" x14ac:dyDescent="0.2">
      <c r="A71" s="195" t="s">
        <v>3067</v>
      </c>
      <c r="B71" s="409" t="s">
        <v>1136</v>
      </c>
      <c r="C71" s="201" t="s">
        <v>2388</v>
      </c>
      <c r="D71" s="187" t="s">
        <v>1091</v>
      </c>
      <c r="E71" s="187" t="s">
        <v>3028</v>
      </c>
      <c r="F71" s="489" t="s">
        <v>3068</v>
      </c>
      <c r="G71" s="490"/>
      <c r="H71" s="490"/>
      <c r="I71" s="490"/>
      <c r="J71" s="490"/>
      <c r="K71" s="490"/>
      <c r="L71" s="490"/>
      <c r="M71" s="490"/>
      <c r="N71" s="491"/>
    </row>
    <row r="72" spans="1:14" ht="23.25" customHeight="1" x14ac:dyDescent="0.2">
      <c r="A72" s="197" t="s">
        <v>3069</v>
      </c>
      <c r="B72" s="408" t="s">
        <v>1137</v>
      </c>
      <c r="C72" s="199" t="s">
        <v>2687</v>
      </c>
      <c r="D72" s="189" t="s">
        <v>882</v>
      </c>
      <c r="E72" s="189" t="s">
        <v>3070</v>
      </c>
      <c r="F72" s="493" t="s">
        <v>3071</v>
      </c>
      <c r="G72" s="490"/>
      <c r="H72" s="490"/>
      <c r="I72" s="490"/>
      <c r="J72" s="490"/>
      <c r="K72" s="490"/>
      <c r="L72" s="490"/>
      <c r="M72" s="490"/>
      <c r="N72" s="491"/>
    </row>
    <row r="73" spans="1:14" ht="23.25" customHeight="1" x14ac:dyDescent="0.2">
      <c r="A73" s="195" t="s">
        <v>3072</v>
      </c>
      <c r="B73" s="409" t="s">
        <v>1139</v>
      </c>
      <c r="C73" s="200" t="s">
        <v>2373</v>
      </c>
      <c r="D73" s="187" t="s">
        <v>972</v>
      </c>
      <c r="E73" s="187" t="s">
        <v>2969</v>
      </c>
      <c r="F73" s="489" t="s">
        <v>3073</v>
      </c>
      <c r="G73" s="490"/>
      <c r="H73" s="490"/>
      <c r="I73" s="490"/>
      <c r="J73" s="490"/>
      <c r="K73" s="490"/>
      <c r="L73" s="490"/>
      <c r="M73" s="490"/>
      <c r="N73" s="491"/>
    </row>
    <row r="74" spans="1:14" ht="34.5" customHeight="1" x14ac:dyDescent="0.2">
      <c r="A74" s="197" t="s">
        <v>3074</v>
      </c>
      <c r="B74" s="408" t="s">
        <v>1140</v>
      </c>
      <c r="C74" s="200" t="s">
        <v>2373</v>
      </c>
      <c r="D74" s="189" t="s">
        <v>1016</v>
      </c>
      <c r="E74" s="189" t="s">
        <v>3008</v>
      </c>
      <c r="F74" s="493" t="s">
        <v>3075</v>
      </c>
      <c r="G74" s="490"/>
      <c r="H74" s="490"/>
      <c r="I74" s="490"/>
      <c r="J74" s="490"/>
      <c r="K74" s="490"/>
      <c r="L74" s="490"/>
      <c r="M74" s="490"/>
      <c r="N74" s="491"/>
    </row>
    <row r="75" spans="1:14" x14ac:dyDescent="0.2">
      <c r="A75" s="195" t="s">
        <v>3076</v>
      </c>
      <c r="B75" s="409" t="s">
        <v>1142</v>
      </c>
      <c r="C75" s="196" t="s">
        <v>1202</v>
      </c>
      <c r="D75" s="187" t="s">
        <v>984</v>
      </c>
      <c r="E75" s="187" t="s">
        <v>2972</v>
      </c>
      <c r="F75" s="489" t="s">
        <v>3077</v>
      </c>
      <c r="G75" s="490"/>
      <c r="H75" s="490"/>
      <c r="I75" s="490"/>
      <c r="J75" s="490"/>
      <c r="K75" s="490"/>
      <c r="L75" s="490"/>
      <c r="M75" s="490"/>
      <c r="N75" s="491"/>
    </row>
    <row r="76" spans="1:14" ht="23.25" customHeight="1" x14ac:dyDescent="0.2">
      <c r="A76" s="197" t="s">
        <v>3078</v>
      </c>
      <c r="B76" s="408" t="s">
        <v>1144</v>
      </c>
      <c r="C76" s="198" t="s">
        <v>1189</v>
      </c>
      <c r="D76" s="189" t="s">
        <v>901</v>
      </c>
      <c r="E76" s="189" t="s">
        <v>2938</v>
      </c>
      <c r="F76" s="493" t="s">
        <v>3079</v>
      </c>
      <c r="G76" s="490"/>
      <c r="H76" s="490"/>
      <c r="I76" s="490"/>
      <c r="J76" s="490"/>
      <c r="K76" s="490"/>
      <c r="L76" s="490"/>
      <c r="M76" s="490"/>
      <c r="N76" s="491"/>
    </row>
    <row r="77" spans="1:14" ht="26.1" customHeight="1" x14ac:dyDescent="0.2">
      <c r="A77" s="492" t="s">
        <v>3080</v>
      </c>
      <c r="B77" s="416"/>
      <c r="C77" s="416"/>
      <c r="D77" s="416"/>
      <c r="E77" s="416"/>
      <c r="F77" s="416"/>
      <c r="G77" s="416"/>
      <c r="H77" s="416"/>
      <c r="I77" s="416"/>
      <c r="J77" s="416"/>
      <c r="K77" s="416"/>
      <c r="L77" s="416"/>
      <c r="M77" s="416"/>
      <c r="N77" s="416"/>
    </row>
    <row r="80" spans="1:14" x14ac:dyDescent="0.2">
      <c r="B80" s="257" t="s">
        <v>853</v>
      </c>
    </row>
  </sheetData>
  <mergeCells count="64">
    <mergeCell ref="A3:N3"/>
    <mergeCell ref="A13:N13"/>
    <mergeCell ref="F60:N60"/>
    <mergeCell ref="F49:N49"/>
    <mergeCell ref="F57:N57"/>
    <mergeCell ref="F44:N44"/>
    <mergeCell ref="F53:N53"/>
    <mergeCell ref="F29:N29"/>
    <mergeCell ref="F16:N16"/>
    <mergeCell ref="F54:N54"/>
    <mergeCell ref="F19:N19"/>
    <mergeCell ref="F25:N25"/>
    <mergeCell ref="F34:N34"/>
    <mergeCell ref="F30:N30"/>
    <mergeCell ref="F40:N40"/>
    <mergeCell ref="F59:N59"/>
    <mergeCell ref="F17:N17"/>
    <mergeCell ref="F35:N35"/>
    <mergeCell ref="F66:N66"/>
    <mergeCell ref="F75:N75"/>
    <mergeCell ref="F47:N47"/>
    <mergeCell ref="F62:N62"/>
    <mergeCell ref="F38:N38"/>
    <mergeCell ref="F72:N72"/>
    <mergeCell ref="F23:N23"/>
    <mergeCell ref="F31:N31"/>
    <mergeCell ref="F46:N46"/>
    <mergeCell ref="F22:N22"/>
    <mergeCell ref="F28:N28"/>
    <mergeCell ref="F27:N27"/>
    <mergeCell ref="F71:N71"/>
    <mergeCell ref="F56:N56"/>
    <mergeCell ref="F18:N18"/>
    <mergeCell ref="F32:N32"/>
    <mergeCell ref="F50:N50"/>
    <mergeCell ref="F26:N26"/>
    <mergeCell ref="F70:N70"/>
    <mergeCell ref="F41:N41"/>
    <mergeCell ref="F58:N58"/>
    <mergeCell ref="F67:N67"/>
    <mergeCell ref="F61:N61"/>
    <mergeCell ref="F43:N43"/>
    <mergeCell ref="F39:N39"/>
    <mergeCell ref="F52:N52"/>
    <mergeCell ref="F48:N48"/>
    <mergeCell ref="F37:N37"/>
    <mergeCell ref="F64:N64"/>
    <mergeCell ref="F69:N69"/>
    <mergeCell ref="F21:N21"/>
    <mergeCell ref="A77:N77"/>
    <mergeCell ref="F51:N51"/>
    <mergeCell ref="F20:N20"/>
    <mergeCell ref="F76:N76"/>
    <mergeCell ref="F33:N33"/>
    <mergeCell ref="F45:N45"/>
    <mergeCell ref="F36:N36"/>
    <mergeCell ref="F42:N42"/>
    <mergeCell ref="F73:N73"/>
    <mergeCell ref="F68:N68"/>
    <mergeCell ref="F63:N63"/>
    <mergeCell ref="F65:N65"/>
    <mergeCell ref="F74:N74"/>
    <mergeCell ref="F55:N55"/>
    <mergeCell ref="F24:N2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9"/>
  <sheetViews>
    <sheetView workbookViewId="0"/>
  </sheetViews>
  <sheetFormatPr defaultRowHeight="15" x14ac:dyDescent="0.2"/>
  <cols>
    <col min="1" max="1" width="6.05078125" style="396" customWidth="1"/>
    <col min="2" max="2" width="7.93359375" style="396" customWidth="1"/>
    <col min="3" max="3" width="29.99609375" style="396" customWidth="1"/>
    <col min="4" max="4" width="52.05859375" style="396" customWidth="1"/>
    <col min="5" max="5" width="11.97265625" style="396" customWidth="1"/>
    <col min="6" max="6" width="25.9609375" style="396" customWidth="1"/>
  </cols>
  <sheetData>
    <row r="1" spans="1:6" ht="30" customHeight="1" x14ac:dyDescent="0.2">
      <c r="A1" s="182" t="s">
        <v>3081</v>
      </c>
      <c r="B1" s="411"/>
      <c r="C1" s="411"/>
      <c r="D1" s="411"/>
      <c r="E1" s="411"/>
      <c r="F1" s="411"/>
    </row>
    <row r="2" spans="1:6" ht="30" customHeight="1" x14ac:dyDescent="0.2">
      <c r="A2" s="183" t="s">
        <v>3082</v>
      </c>
      <c r="B2" s="184"/>
      <c r="C2" s="184"/>
      <c r="D2" s="184"/>
      <c r="E2" s="184"/>
      <c r="F2" s="184"/>
    </row>
    <row r="3" spans="1:6" x14ac:dyDescent="0.2">
      <c r="A3" s="494" t="s">
        <v>2907</v>
      </c>
      <c r="B3" s="416"/>
      <c r="C3" s="416"/>
      <c r="D3" s="416"/>
      <c r="E3" s="416"/>
      <c r="F3" s="416"/>
    </row>
    <row r="5" spans="1:6" ht="24" customHeight="1" x14ac:dyDescent="0.2">
      <c r="A5" s="185" t="s">
        <v>3083</v>
      </c>
      <c r="B5" s="411"/>
      <c r="C5" s="411"/>
      <c r="D5" s="411"/>
      <c r="E5" s="411"/>
      <c r="F5" s="411"/>
    </row>
    <row r="6" spans="1:6" ht="30" customHeight="1" x14ac:dyDescent="0.2">
      <c r="A6" s="410" t="s">
        <v>2751</v>
      </c>
      <c r="B6" s="410" t="s">
        <v>3084</v>
      </c>
      <c r="C6" s="410" t="s">
        <v>3085</v>
      </c>
      <c r="D6" s="410"/>
      <c r="E6" s="410" t="s">
        <v>3086</v>
      </c>
      <c r="F6" s="410"/>
    </row>
    <row r="7" spans="1:6" ht="23.25" customHeight="1" x14ac:dyDescent="0.2">
      <c r="A7" s="202" t="s">
        <v>3087</v>
      </c>
      <c r="B7" s="187">
        <v>38</v>
      </c>
      <c r="C7" s="187">
        <v>38</v>
      </c>
      <c r="D7" s="187"/>
      <c r="E7" s="187" t="s">
        <v>3088</v>
      </c>
      <c r="F7" s="187"/>
    </row>
    <row r="8" spans="1:6" ht="67.5" customHeight="1" x14ac:dyDescent="0.2">
      <c r="A8" s="203" t="s">
        <v>3089</v>
      </c>
      <c r="B8" s="189">
        <v>15</v>
      </c>
      <c r="C8" s="189">
        <v>14</v>
      </c>
      <c r="D8" s="189"/>
      <c r="E8" s="189" t="s">
        <v>3090</v>
      </c>
      <c r="F8" s="189"/>
    </row>
    <row r="9" spans="1:6" ht="56.25" customHeight="1" x14ac:dyDescent="0.2">
      <c r="A9" s="202" t="s">
        <v>3091</v>
      </c>
      <c r="B9" s="187">
        <v>2</v>
      </c>
      <c r="C9" s="187">
        <v>2</v>
      </c>
      <c r="D9" s="187"/>
      <c r="E9" s="187" t="s">
        <v>3092</v>
      </c>
      <c r="F9" s="187"/>
    </row>
    <row r="10" spans="1:6" ht="34.5" customHeight="1" x14ac:dyDescent="0.2">
      <c r="A10" s="203" t="s">
        <v>3093</v>
      </c>
      <c r="B10" s="189">
        <v>1</v>
      </c>
      <c r="C10" s="189">
        <v>1</v>
      </c>
      <c r="D10" s="189"/>
      <c r="E10" s="189" t="s">
        <v>3094</v>
      </c>
      <c r="F10" s="189"/>
    </row>
    <row r="11" spans="1:6" ht="26.1" customHeight="1" x14ac:dyDescent="0.2">
      <c r="A11" s="492" t="s">
        <v>3095</v>
      </c>
      <c r="B11" s="416"/>
      <c r="C11" s="416"/>
      <c r="D11" s="416"/>
      <c r="E11" s="416"/>
      <c r="F11" s="416"/>
    </row>
    <row r="13" spans="1:6" ht="24" customHeight="1" x14ac:dyDescent="0.2">
      <c r="A13" s="185" t="s">
        <v>3096</v>
      </c>
      <c r="B13" s="411"/>
      <c r="C13" s="411"/>
      <c r="D13" s="411"/>
      <c r="E13" s="411"/>
      <c r="F13" s="411"/>
    </row>
    <row r="14" spans="1:6" ht="30" customHeight="1" x14ac:dyDescent="0.2">
      <c r="A14" s="410" t="s">
        <v>3097</v>
      </c>
      <c r="B14" s="410" t="s">
        <v>3098</v>
      </c>
      <c r="C14" s="410" t="s">
        <v>2691</v>
      </c>
      <c r="D14" s="410" t="s">
        <v>3099</v>
      </c>
      <c r="E14" s="410" t="s">
        <v>2751</v>
      </c>
      <c r="F14" s="410" t="s">
        <v>3100</v>
      </c>
    </row>
    <row r="15" spans="1:6" x14ac:dyDescent="0.2">
      <c r="A15" s="409">
        <v>2</v>
      </c>
      <c r="B15" s="187" t="s">
        <v>3101</v>
      </c>
      <c r="C15" s="202" t="s">
        <v>3102</v>
      </c>
      <c r="D15" s="204" t="s">
        <v>803</v>
      </c>
      <c r="E15" s="187" t="s">
        <v>3103</v>
      </c>
      <c r="F15" s="409" t="s">
        <v>3104</v>
      </c>
    </row>
    <row r="16" spans="1:6" ht="22.5" customHeight="1" x14ac:dyDescent="0.2">
      <c r="A16" s="408">
        <v>3</v>
      </c>
      <c r="B16" s="189" t="s">
        <v>3105</v>
      </c>
      <c r="C16" s="203" t="s">
        <v>119</v>
      </c>
      <c r="D16" s="205" t="s">
        <v>3106</v>
      </c>
      <c r="E16" s="189" t="s">
        <v>3103</v>
      </c>
      <c r="F16" s="408" t="s">
        <v>119</v>
      </c>
    </row>
    <row r="17" spans="1:6" x14ac:dyDescent="0.2">
      <c r="A17" s="409">
        <v>4</v>
      </c>
      <c r="B17" s="187" t="s">
        <v>3107</v>
      </c>
      <c r="C17" s="202" t="s">
        <v>3108</v>
      </c>
      <c r="D17" s="204" t="s">
        <v>3109</v>
      </c>
      <c r="E17" s="187" t="s">
        <v>3103</v>
      </c>
      <c r="F17" s="409" t="s">
        <v>3110</v>
      </c>
    </row>
    <row r="18" spans="1:6" x14ac:dyDescent="0.2">
      <c r="A18" s="408">
        <v>5</v>
      </c>
      <c r="B18" s="189" t="s">
        <v>3111</v>
      </c>
      <c r="C18" s="203" t="s">
        <v>3112</v>
      </c>
      <c r="D18" s="205" t="s">
        <v>3113</v>
      </c>
      <c r="E18" s="189" t="s">
        <v>3103</v>
      </c>
      <c r="F18" s="408" t="s">
        <v>3114</v>
      </c>
    </row>
    <row r="19" spans="1:6" x14ac:dyDescent="0.2">
      <c r="A19" s="409">
        <v>6</v>
      </c>
      <c r="B19" s="187" t="s">
        <v>3115</v>
      </c>
      <c r="C19" s="202" t="s">
        <v>3116</v>
      </c>
      <c r="D19" s="204" t="s">
        <v>3117</v>
      </c>
      <c r="E19" s="187" t="s">
        <v>3103</v>
      </c>
      <c r="F19" s="409" t="s">
        <v>1488</v>
      </c>
    </row>
    <row r="20" spans="1:6" x14ac:dyDescent="0.2">
      <c r="A20" s="408">
        <v>7</v>
      </c>
      <c r="B20" s="189" t="s">
        <v>3118</v>
      </c>
      <c r="C20" s="203" t="s">
        <v>3119</v>
      </c>
      <c r="D20" s="205" t="s">
        <v>3120</v>
      </c>
      <c r="E20" s="189" t="s">
        <v>3103</v>
      </c>
      <c r="F20" s="408" t="s">
        <v>3121</v>
      </c>
    </row>
    <row r="21" spans="1:6" x14ac:dyDescent="0.2">
      <c r="A21" s="409">
        <v>8</v>
      </c>
      <c r="B21" s="187" t="s">
        <v>3122</v>
      </c>
      <c r="C21" s="202" t="s">
        <v>3123</v>
      </c>
      <c r="D21" s="204" t="s">
        <v>3124</v>
      </c>
      <c r="E21" s="187" t="s">
        <v>3103</v>
      </c>
      <c r="F21" s="409" t="s">
        <v>3125</v>
      </c>
    </row>
    <row r="22" spans="1:6" x14ac:dyDescent="0.2">
      <c r="A22" s="408">
        <v>9</v>
      </c>
      <c r="B22" s="189" t="s">
        <v>3126</v>
      </c>
      <c r="C22" s="203" t="s">
        <v>3127</v>
      </c>
      <c r="D22" s="205" t="s">
        <v>3128</v>
      </c>
      <c r="E22" s="189" t="s">
        <v>3103</v>
      </c>
      <c r="F22" s="408" t="s">
        <v>3129</v>
      </c>
    </row>
    <row r="23" spans="1:6" x14ac:dyDescent="0.2">
      <c r="A23" s="409">
        <v>10</v>
      </c>
      <c r="B23" s="187" t="s">
        <v>3130</v>
      </c>
      <c r="C23" s="202" t="s">
        <v>3131</v>
      </c>
      <c r="D23" s="204" t="s">
        <v>3132</v>
      </c>
      <c r="E23" s="187" t="s">
        <v>3103</v>
      </c>
      <c r="F23" s="409" t="s">
        <v>3133</v>
      </c>
    </row>
    <row r="24" spans="1:6" x14ac:dyDescent="0.2">
      <c r="A24" s="408">
        <v>11</v>
      </c>
      <c r="B24" s="189" t="s">
        <v>3134</v>
      </c>
      <c r="C24" s="203" t="s">
        <v>3135</v>
      </c>
      <c r="D24" s="205" t="s">
        <v>3136</v>
      </c>
      <c r="E24" s="410" t="s">
        <v>3137</v>
      </c>
      <c r="F24" s="408" t="s">
        <v>3138</v>
      </c>
    </row>
    <row r="25" spans="1:6" x14ac:dyDescent="0.2">
      <c r="A25" s="409">
        <v>12</v>
      </c>
      <c r="B25" s="187" t="s">
        <v>3139</v>
      </c>
      <c r="C25" s="202" t="s">
        <v>3140</v>
      </c>
      <c r="D25" s="204" t="s">
        <v>3141</v>
      </c>
      <c r="E25" s="410" t="s">
        <v>3137</v>
      </c>
      <c r="F25" s="409" t="s">
        <v>3142</v>
      </c>
    </row>
    <row r="26" spans="1:6" x14ac:dyDescent="0.2">
      <c r="A26" s="408">
        <v>13</v>
      </c>
      <c r="B26" s="189" t="s">
        <v>3143</v>
      </c>
      <c r="C26" s="203" t="s">
        <v>3144</v>
      </c>
      <c r="D26" s="205" t="s">
        <v>3145</v>
      </c>
      <c r="E26" s="410" t="s">
        <v>3137</v>
      </c>
      <c r="F26" s="408" t="s">
        <v>3146</v>
      </c>
    </row>
    <row r="27" spans="1:6" x14ac:dyDescent="0.2">
      <c r="A27" s="409">
        <v>14</v>
      </c>
      <c r="B27" s="187" t="s">
        <v>3147</v>
      </c>
      <c r="C27" s="202" t="s">
        <v>3148</v>
      </c>
      <c r="D27" s="204" t="s">
        <v>3149</v>
      </c>
      <c r="E27" s="410" t="s">
        <v>3137</v>
      </c>
      <c r="F27" s="409" t="s">
        <v>3150</v>
      </c>
    </row>
    <row r="28" spans="1:6" x14ac:dyDescent="0.2">
      <c r="A28" s="408">
        <v>15</v>
      </c>
      <c r="B28" s="189" t="s">
        <v>3151</v>
      </c>
      <c r="C28" s="203" t="s">
        <v>3152</v>
      </c>
      <c r="D28" s="205" t="s">
        <v>3153</v>
      </c>
      <c r="E28" s="189" t="s">
        <v>3103</v>
      </c>
      <c r="F28" s="408" t="s">
        <v>3154</v>
      </c>
    </row>
    <row r="29" spans="1:6" x14ac:dyDescent="0.2">
      <c r="A29" s="409">
        <v>16</v>
      </c>
      <c r="B29" s="187" t="s">
        <v>3155</v>
      </c>
      <c r="C29" s="202" t="s">
        <v>3156</v>
      </c>
      <c r="D29" s="204" t="s">
        <v>3157</v>
      </c>
      <c r="E29" s="187" t="s">
        <v>3103</v>
      </c>
      <c r="F29" s="409" t="s">
        <v>3158</v>
      </c>
    </row>
    <row r="30" spans="1:6" x14ac:dyDescent="0.2">
      <c r="A30" s="408">
        <v>17</v>
      </c>
      <c r="B30" s="189" t="s">
        <v>3159</v>
      </c>
      <c r="C30" s="203" t="s">
        <v>3160</v>
      </c>
      <c r="D30" s="205" t="s">
        <v>3161</v>
      </c>
      <c r="E30" s="189" t="s">
        <v>3103</v>
      </c>
      <c r="F30" s="408" t="s">
        <v>3162</v>
      </c>
    </row>
    <row r="31" spans="1:6" x14ac:dyDescent="0.2">
      <c r="A31" s="409">
        <v>18</v>
      </c>
      <c r="B31" s="187" t="s">
        <v>3163</v>
      </c>
      <c r="C31" s="202" t="s">
        <v>3164</v>
      </c>
      <c r="D31" s="204" t="s">
        <v>3165</v>
      </c>
      <c r="E31" s="187" t="s">
        <v>3103</v>
      </c>
      <c r="F31" s="409" t="s">
        <v>3166</v>
      </c>
    </row>
    <row r="32" spans="1:6" ht="22.5" customHeight="1" x14ac:dyDescent="0.2">
      <c r="A32" s="408">
        <v>19</v>
      </c>
      <c r="B32" s="189" t="s">
        <v>3167</v>
      </c>
      <c r="C32" s="203" t="s">
        <v>3168</v>
      </c>
      <c r="D32" s="205" t="s">
        <v>3169</v>
      </c>
      <c r="E32" s="189" t="s">
        <v>3103</v>
      </c>
      <c r="F32" s="408" t="s">
        <v>3170</v>
      </c>
    </row>
    <row r="33" spans="1:6" x14ac:dyDescent="0.2">
      <c r="A33" s="409">
        <v>20</v>
      </c>
      <c r="B33" s="187" t="s">
        <v>3171</v>
      </c>
      <c r="C33" s="202" t="s">
        <v>3172</v>
      </c>
      <c r="D33" s="204" t="s">
        <v>3173</v>
      </c>
      <c r="E33" s="187" t="s">
        <v>3103</v>
      </c>
      <c r="F33" s="409" t="s">
        <v>3174</v>
      </c>
    </row>
    <row r="34" spans="1:6" x14ac:dyDescent="0.2">
      <c r="A34" s="408">
        <v>21</v>
      </c>
      <c r="B34" s="189" t="s">
        <v>3175</v>
      </c>
      <c r="C34" s="203" t="s">
        <v>3176</v>
      </c>
      <c r="D34" s="205" t="s">
        <v>3177</v>
      </c>
      <c r="E34" s="189" t="s">
        <v>3103</v>
      </c>
      <c r="F34" s="408" t="s">
        <v>3178</v>
      </c>
    </row>
    <row r="35" spans="1:6" x14ac:dyDescent="0.2">
      <c r="A35" s="409">
        <v>22</v>
      </c>
      <c r="B35" s="187" t="s">
        <v>3179</v>
      </c>
      <c r="C35" s="202" t="s">
        <v>3180</v>
      </c>
      <c r="D35" s="204" t="s">
        <v>3181</v>
      </c>
      <c r="E35" s="187" t="s">
        <v>3103</v>
      </c>
      <c r="F35" s="409" t="s">
        <v>3182</v>
      </c>
    </row>
    <row r="36" spans="1:6" ht="33" customHeight="1" x14ac:dyDescent="0.2">
      <c r="A36" s="408">
        <v>23</v>
      </c>
      <c r="B36" s="189" t="s">
        <v>3183</v>
      </c>
      <c r="C36" s="203" t="s">
        <v>3184</v>
      </c>
      <c r="D36" s="205" t="s">
        <v>3185</v>
      </c>
      <c r="E36" s="189" t="s">
        <v>3103</v>
      </c>
      <c r="F36" s="408" t="s">
        <v>3186</v>
      </c>
    </row>
    <row r="37" spans="1:6" x14ac:dyDescent="0.2">
      <c r="A37" s="409">
        <v>24</v>
      </c>
      <c r="B37" s="187" t="s">
        <v>3187</v>
      </c>
      <c r="C37" s="202" t="s">
        <v>3188</v>
      </c>
      <c r="D37" s="204" t="s">
        <v>3189</v>
      </c>
      <c r="E37" s="187" t="s">
        <v>3103</v>
      </c>
      <c r="F37" s="409" t="s">
        <v>3190</v>
      </c>
    </row>
    <row r="38" spans="1:6" x14ac:dyDescent="0.2">
      <c r="A38" s="408">
        <v>25</v>
      </c>
      <c r="B38" s="189" t="s">
        <v>3191</v>
      </c>
      <c r="C38" s="203" t="s">
        <v>3192</v>
      </c>
      <c r="D38" s="205" t="s">
        <v>3193</v>
      </c>
      <c r="E38" s="410" t="s">
        <v>3137</v>
      </c>
      <c r="F38" s="408" t="s">
        <v>3194</v>
      </c>
    </row>
    <row r="39" spans="1:6" x14ac:dyDescent="0.2">
      <c r="A39" s="409">
        <v>26</v>
      </c>
      <c r="B39" s="187" t="s">
        <v>3195</v>
      </c>
      <c r="C39" s="202" t="s">
        <v>3196</v>
      </c>
      <c r="D39" s="204" t="s">
        <v>3197</v>
      </c>
      <c r="E39" s="410" t="s">
        <v>3137</v>
      </c>
      <c r="F39" s="409" t="s">
        <v>3196</v>
      </c>
    </row>
    <row r="40" spans="1:6" x14ac:dyDescent="0.2">
      <c r="A40" s="408">
        <v>27</v>
      </c>
      <c r="B40" s="189" t="s">
        <v>3198</v>
      </c>
      <c r="C40" s="203" t="s">
        <v>3199</v>
      </c>
      <c r="D40" s="205" t="s">
        <v>3200</v>
      </c>
      <c r="E40" s="410" t="s">
        <v>3137</v>
      </c>
      <c r="F40" s="408" t="s">
        <v>3199</v>
      </c>
    </row>
    <row r="41" spans="1:6" x14ac:dyDescent="0.2">
      <c r="A41" s="409">
        <v>28</v>
      </c>
      <c r="B41" s="187" t="s">
        <v>3201</v>
      </c>
      <c r="C41" s="202" t="s">
        <v>3202</v>
      </c>
      <c r="D41" s="204" t="s">
        <v>3203</v>
      </c>
      <c r="E41" s="187" t="s">
        <v>3103</v>
      </c>
      <c r="F41" s="409" t="s">
        <v>3204</v>
      </c>
    </row>
    <row r="42" spans="1:6" x14ac:dyDescent="0.2">
      <c r="A42" s="408">
        <v>29</v>
      </c>
      <c r="B42" s="189" t="s">
        <v>3205</v>
      </c>
      <c r="C42" s="203" t="s">
        <v>3206</v>
      </c>
      <c r="D42" s="205" t="s">
        <v>3207</v>
      </c>
      <c r="E42" s="189" t="s">
        <v>3103</v>
      </c>
      <c r="F42" s="408" t="s">
        <v>3206</v>
      </c>
    </row>
    <row r="43" spans="1:6" x14ac:dyDescent="0.2">
      <c r="A43" s="409">
        <v>30</v>
      </c>
      <c r="B43" s="187" t="s">
        <v>3208</v>
      </c>
      <c r="C43" s="202" t="s">
        <v>3209</v>
      </c>
      <c r="D43" s="204" t="s">
        <v>3210</v>
      </c>
      <c r="E43" s="187" t="s">
        <v>3103</v>
      </c>
      <c r="F43" s="409" t="s">
        <v>3211</v>
      </c>
    </row>
    <row r="44" spans="1:6" x14ac:dyDescent="0.2">
      <c r="A44" s="408">
        <v>31</v>
      </c>
      <c r="B44" s="189" t="s">
        <v>3212</v>
      </c>
      <c r="C44" s="203" t="s">
        <v>3213</v>
      </c>
      <c r="D44" s="205" t="s">
        <v>3214</v>
      </c>
      <c r="E44" s="189" t="s">
        <v>3103</v>
      </c>
      <c r="F44" s="408" t="s">
        <v>3215</v>
      </c>
    </row>
    <row r="45" spans="1:6" x14ac:dyDescent="0.2">
      <c r="A45" s="409">
        <v>32</v>
      </c>
      <c r="B45" s="187" t="s">
        <v>3216</v>
      </c>
      <c r="C45" s="202" t="s">
        <v>3217</v>
      </c>
      <c r="D45" s="204" t="s">
        <v>3218</v>
      </c>
      <c r="E45" s="187" t="s">
        <v>3103</v>
      </c>
      <c r="F45" s="409" t="s">
        <v>3217</v>
      </c>
    </row>
    <row r="46" spans="1:6" x14ac:dyDescent="0.2">
      <c r="A46" s="408">
        <v>33</v>
      </c>
      <c r="B46" s="189" t="s">
        <v>3219</v>
      </c>
      <c r="C46" s="203" t="s">
        <v>3220</v>
      </c>
      <c r="D46" s="205" t="s">
        <v>3221</v>
      </c>
      <c r="E46" s="189" t="s">
        <v>3103</v>
      </c>
      <c r="F46" s="408" t="s">
        <v>3222</v>
      </c>
    </row>
    <row r="47" spans="1:6" x14ac:dyDescent="0.2">
      <c r="A47" s="409">
        <v>34</v>
      </c>
      <c r="B47" s="187" t="s">
        <v>3223</v>
      </c>
      <c r="C47" s="202" t="s">
        <v>3224</v>
      </c>
      <c r="D47" s="204" t="s">
        <v>3225</v>
      </c>
      <c r="E47" s="187" t="s">
        <v>3103</v>
      </c>
      <c r="F47" s="409" t="s">
        <v>3226</v>
      </c>
    </row>
    <row r="48" spans="1:6" x14ac:dyDescent="0.2">
      <c r="A48" s="408">
        <v>35</v>
      </c>
      <c r="B48" s="189" t="s">
        <v>3227</v>
      </c>
      <c r="C48" s="203" t="s">
        <v>3228</v>
      </c>
      <c r="D48" s="205" t="s">
        <v>3229</v>
      </c>
      <c r="E48" s="189" t="s">
        <v>3103</v>
      </c>
      <c r="F48" s="408" t="s">
        <v>3230</v>
      </c>
    </row>
    <row r="49" spans="1:6" x14ac:dyDescent="0.2">
      <c r="A49" s="409">
        <v>36</v>
      </c>
      <c r="B49" s="187" t="s">
        <v>3231</v>
      </c>
      <c r="C49" s="202" t="s">
        <v>3232</v>
      </c>
      <c r="D49" s="204" t="s">
        <v>3233</v>
      </c>
      <c r="E49" s="187" t="s">
        <v>3103</v>
      </c>
      <c r="F49" s="409" t="s">
        <v>3232</v>
      </c>
    </row>
    <row r="50" spans="1:6" x14ac:dyDescent="0.2">
      <c r="A50" s="408">
        <v>37</v>
      </c>
      <c r="B50" s="189" t="s">
        <v>3234</v>
      </c>
      <c r="C50" s="203" t="s">
        <v>3235</v>
      </c>
      <c r="D50" s="205" t="s">
        <v>3236</v>
      </c>
      <c r="E50" s="189" t="s">
        <v>3103</v>
      </c>
      <c r="F50" s="408" t="s">
        <v>3237</v>
      </c>
    </row>
    <row r="51" spans="1:6" x14ac:dyDescent="0.2">
      <c r="A51" s="409">
        <v>38</v>
      </c>
      <c r="B51" s="187" t="s">
        <v>3238</v>
      </c>
      <c r="C51" s="202" t="s">
        <v>3239</v>
      </c>
      <c r="D51" s="204" t="s">
        <v>3240</v>
      </c>
      <c r="E51" s="410" t="s">
        <v>3137</v>
      </c>
      <c r="F51" s="409" t="s">
        <v>3241</v>
      </c>
    </row>
    <row r="52" spans="1:6" ht="22.5" customHeight="1" x14ac:dyDescent="0.2">
      <c r="A52" s="408">
        <v>39</v>
      </c>
      <c r="B52" s="189" t="s">
        <v>3242</v>
      </c>
      <c r="C52" s="203" t="s">
        <v>3243</v>
      </c>
      <c r="D52" s="205" t="s">
        <v>3244</v>
      </c>
      <c r="E52" s="410" t="s">
        <v>3137</v>
      </c>
      <c r="F52" s="408" t="s">
        <v>3245</v>
      </c>
    </row>
    <row r="53" spans="1:6" x14ac:dyDescent="0.2">
      <c r="A53" s="409">
        <v>40</v>
      </c>
      <c r="B53" s="187" t="s">
        <v>3246</v>
      </c>
      <c r="C53" s="202" t="s">
        <v>3247</v>
      </c>
      <c r="D53" s="204" t="s">
        <v>3248</v>
      </c>
      <c r="E53" s="410" t="s">
        <v>3137</v>
      </c>
      <c r="F53" s="409" t="s">
        <v>3249</v>
      </c>
    </row>
    <row r="54" spans="1:6" x14ac:dyDescent="0.2">
      <c r="A54" s="408">
        <v>41</v>
      </c>
      <c r="B54" s="189" t="s">
        <v>3250</v>
      </c>
      <c r="C54" s="203" t="s">
        <v>3251</v>
      </c>
      <c r="D54" s="205" t="s">
        <v>3252</v>
      </c>
      <c r="E54" s="189" t="s">
        <v>3103</v>
      </c>
      <c r="F54" s="408" t="s">
        <v>3253</v>
      </c>
    </row>
    <row r="55" spans="1:6" x14ac:dyDescent="0.2">
      <c r="A55" s="409">
        <v>42</v>
      </c>
      <c r="B55" s="187" t="s">
        <v>3254</v>
      </c>
      <c r="C55" s="202" t="s">
        <v>3255</v>
      </c>
      <c r="D55" s="204" t="s">
        <v>3256</v>
      </c>
      <c r="E55" s="187" t="s">
        <v>3103</v>
      </c>
      <c r="F55" s="409" t="s">
        <v>3257</v>
      </c>
    </row>
    <row r="56" spans="1:6" x14ac:dyDescent="0.2">
      <c r="A56" s="408">
        <v>43</v>
      </c>
      <c r="B56" s="189" t="s">
        <v>3258</v>
      </c>
      <c r="C56" s="203" t="s">
        <v>3259</v>
      </c>
      <c r="D56" s="205" t="s">
        <v>3260</v>
      </c>
      <c r="E56" s="189" t="s">
        <v>3103</v>
      </c>
      <c r="F56" s="408" t="s">
        <v>3261</v>
      </c>
    </row>
    <row r="57" spans="1:6" x14ac:dyDescent="0.2">
      <c r="A57" s="409">
        <v>44</v>
      </c>
      <c r="B57" s="187" t="s">
        <v>3262</v>
      </c>
      <c r="C57" s="202" t="s">
        <v>3263</v>
      </c>
      <c r="D57" s="204" t="s">
        <v>3264</v>
      </c>
      <c r="E57" s="187" t="s">
        <v>3103</v>
      </c>
      <c r="F57" s="409" t="s">
        <v>3263</v>
      </c>
    </row>
    <row r="58" spans="1:6" x14ac:dyDescent="0.2">
      <c r="A58" s="408">
        <v>45</v>
      </c>
      <c r="B58" s="189" t="s">
        <v>3265</v>
      </c>
      <c r="C58" s="203" t="s">
        <v>3266</v>
      </c>
      <c r="D58" s="205" t="s">
        <v>3267</v>
      </c>
      <c r="E58" s="189" t="s">
        <v>3103</v>
      </c>
      <c r="F58" s="408" t="s">
        <v>3268</v>
      </c>
    </row>
    <row r="59" spans="1:6" x14ac:dyDescent="0.2">
      <c r="A59" s="409">
        <v>46</v>
      </c>
      <c r="B59" s="187" t="s">
        <v>3269</v>
      </c>
      <c r="C59" s="202" t="s">
        <v>3270</v>
      </c>
      <c r="D59" s="204" t="s">
        <v>3271</v>
      </c>
      <c r="E59" s="187" t="s">
        <v>3103</v>
      </c>
      <c r="F59" s="409" t="s">
        <v>3272</v>
      </c>
    </row>
    <row r="60" spans="1:6" x14ac:dyDescent="0.2">
      <c r="A60" s="408">
        <v>47</v>
      </c>
      <c r="B60" s="189" t="s">
        <v>3273</v>
      </c>
      <c r="C60" s="203" t="s">
        <v>3274</v>
      </c>
      <c r="D60" s="205" t="s">
        <v>3275</v>
      </c>
      <c r="E60" s="189" t="s">
        <v>3103</v>
      </c>
      <c r="F60" s="408" t="s">
        <v>3276</v>
      </c>
    </row>
    <row r="61" spans="1:6" x14ac:dyDescent="0.2">
      <c r="A61" s="409">
        <v>48</v>
      </c>
      <c r="B61" s="187" t="s">
        <v>3277</v>
      </c>
      <c r="C61" s="202" t="s">
        <v>3278</v>
      </c>
      <c r="D61" s="204" t="s">
        <v>3279</v>
      </c>
      <c r="E61" s="187" t="s">
        <v>3103</v>
      </c>
      <c r="F61" s="409" t="s">
        <v>3280</v>
      </c>
    </row>
    <row r="62" spans="1:6" x14ac:dyDescent="0.2">
      <c r="A62" s="408">
        <v>49</v>
      </c>
      <c r="B62" s="189" t="s">
        <v>3281</v>
      </c>
      <c r="C62" s="203" t="s">
        <v>3282</v>
      </c>
      <c r="D62" s="205" t="s">
        <v>3283</v>
      </c>
      <c r="E62" s="189" t="s">
        <v>3103</v>
      </c>
      <c r="F62" s="408" t="s">
        <v>3230</v>
      </c>
    </row>
    <row r="63" spans="1:6" x14ac:dyDescent="0.2">
      <c r="A63" s="409">
        <v>50</v>
      </c>
      <c r="B63" s="187" t="s">
        <v>3284</v>
      </c>
      <c r="C63" s="202" t="s">
        <v>3285</v>
      </c>
      <c r="D63" s="204" t="s">
        <v>3286</v>
      </c>
      <c r="E63" s="410" t="s">
        <v>3137</v>
      </c>
      <c r="F63" s="409" t="s">
        <v>3287</v>
      </c>
    </row>
    <row r="64" spans="1:6" x14ac:dyDescent="0.2">
      <c r="A64" s="408">
        <v>51</v>
      </c>
      <c r="B64" s="189" t="s">
        <v>3288</v>
      </c>
      <c r="C64" s="203" t="s">
        <v>3289</v>
      </c>
      <c r="D64" s="205" t="s">
        <v>3290</v>
      </c>
      <c r="E64" s="410" t="s">
        <v>3137</v>
      </c>
      <c r="F64" s="408" t="s">
        <v>3291</v>
      </c>
    </row>
    <row r="65" spans="1:6" x14ac:dyDescent="0.2">
      <c r="A65" s="409">
        <v>52</v>
      </c>
      <c r="B65" s="187" t="s">
        <v>3292</v>
      </c>
      <c r="C65" s="202" t="s">
        <v>3293</v>
      </c>
      <c r="D65" s="204" t="s">
        <v>3294</v>
      </c>
      <c r="E65" s="410" t="s">
        <v>3137</v>
      </c>
      <c r="F65" s="409" t="s">
        <v>3295</v>
      </c>
    </row>
    <row r="66" spans="1:6" x14ac:dyDescent="0.2">
      <c r="A66" s="408">
        <v>53</v>
      </c>
      <c r="B66" s="189" t="s">
        <v>3296</v>
      </c>
      <c r="C66" s="203" t="s">
        <v>112</v>
      </c>
      <c r="D66" s="205" t="s">
        <v>3297</v>
      </c>
      <c r="E66" s="410" t="s">
        <v>3137</v>
      </c>
      <c r="F66" s="408" t="s">
        <v>3298</v>
      </c>
    </row>
    <row r="67" spans="1:6" ht="22.5" customHeight="1" x14ac:dyDescent="0.2">
      <c r="A67" s="409">
        <v>54</v>
      </c>
      <c r="B67" s="187" t="s">
        <v>3299</v>
      </c>
      <c r="C67" s="202" t="s">
        <v>3300</v>
      </c>
      <c r="D67" s="204" t="s">
        <v>3301</v>
      </c>
      <c r="E67" s="187" t="s">
        <v>3302</v>
      </c>
      <c r="F67" s="409" t="s">
        <v>3303</v>
      </c>
    </row>
    <row r="68" spans="1:6" x14ac:dyDescent="0.2">
      <c r="A68" s="408">
        <v>55</v>
      </c>
      <c r="B68" s="189" t="s">
        <v>3304</v>
      </c>
      <c r="C68" s="203" t="s">
        <v>3305</v>
      </c>
      <c r="D68" s="205" t="s">
        <v>3306</v>
      </c>
      <c r="E68" s="189" t="s">
        <v>3302</v>
      </c>
      <c r="F68" s="408" t="s">
        <v>3307</v>
      </c>
    </row>
    <row r="69" spans="1:6" x14ac:dyDescent="0.2">
      <c r="A69" s="409">
        <v>56</v>
      </c>
      <c r="B69" s="187" t="s">
        <v>3093</v>
      </c>
      <c r="C69" s="202" t="s">
        <v>3308</v>
      </c>
      <c r="D69" s="204" t="s">
        <v>3309</v>
      </c>
      <c r="E69" s="187" t="s">
        <v>3093</v>
      </c>
      <c r="F69" s="409" t="s">
        <v>1629</v>
      </c>
    </row>
    <row r="70" spans="1:6" ht="26.1" customHeight="1" x14ac:dyDescent="0.2">
      <c r="A70" s="492" t="s">
        <v>3310</v>
      </c>
      <c r="B70" s="416"/>
      <c r="C70" s="416"/>
      <c r="D70" s="416"/>
      <c r="E70" s="416"/>
      <c r="F70" s="416"/>
    </row>
    <row r="72" spans="1:6" ht="24" customHeight="1" x14ac:dyDescent="0.2">
      <c r="A72" s="185" t="s">
        <v>3311</v>
      </c>
      <c r="B72" s="411"/>
      <c r="C72" s="411"/>
      <c r="D72" s="411"/>
      <c r="E72" s="411"/>
      <c r="F72" s="411"/>
    </row>
    <row r="73" spans="1:6" ht="34.5" customHeight="1" x14ac:dyDescent="0.2">
      <c r="A73" s="206" t="s">
        <v>3312</v>
      </c>
      <c r="B73" s="496" t="s">
        <v>3313</v>
      </c>
      <c r="C73" s="416"/>
      <c r="D73" s="416"/>
      <c r="E73" s="416"/>
      <c r="F73" s="416"/>
    </row>
    <row r="74" spans="1:6" ht="23.25" customHeight="1" x14ac:dyDescent="0.2">
      <c r="A74" s="206" t="s">
        <v>3314</v>
      </c>
      <c r="B74" s="496" t="s">
        <v>3315</v>
      </c>
      <c r="C74" s="416"/>
      <c r="D74" s="416"/>
      <c r="E74" s="416"/>
      <c r="F74" s="416"/>
    </row>
    <row r="75" spans="1:6" ht="34.5" customHeight="1" x14ac:dyDescent="0.2">
      <c r="A75" s="206" t="s">
        <v>3316</v>
      </c>
      <c r="B75" s="496" t="s">
        <v>3317</v>
      </c>
      <c r="C75" s="416"/>
      <c r="D75" s="416"/>
      <c r="E75" s="416"/>
      <c r="F75" s="416"/>
    </row>
    <row r="76" spans="1:6" ht="23.25" customHeight="1" x14ac:dyDescent="0.2">
      <c r="A76" s="206" t="s">
        <v>3318</v>
      </c>
      <c r="B76" s="496" t="s">
        <v>3319</v>
      </c>
      <c r="C76" s="416"/>
      <c r="D76" s="416"/>
      <c r="E76" s="416"/>
      <c r="F76" s="416"/>
    </row>
    <row r="79" spans="1:6" x14ac:dyDescent="0.2">
      <c r="B79" s="257" t="s">
        <v>853</v>
      </c>
    </row>
  </sheetData>
  <mergeCells count="7">
    <mergeCell ref="A3:F3"/>
    <mergeCell ref="B74:F74"/>
    <mergeCell ref="B75:F75"/>
    <mergeCell ref="B73:F73"/>
    <mergeCell ref="A11:F11"/>
    <mergeCell ref="A70:F70"/>
    <mergeCell ref="B76:F76"/>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2"/>
  <sheetViews>
    <sheetView workbookViewId="0"/>
  </sheetViews>
  <sheetFormatPr defaultRowHeight="15" x14ac:dyDescent="0.2"/>
  <cols>
    <col min="1" max="1" width="29.99609375" style="396" customWidth="1"/>
    <col min="2" max="3" width="16.0078125" style="396" customWidth="1"/>
    <col min="4" max="4" width="62.015625" style="396" customWidth="1"/>
    <col min="5" max="8" width="6.05078125" style="396" customWidth="1"/>
  </cols>
  <sheetData>
    <row r="1" spans="1:4" ht="30" customHeight="1" x14ac:dyDescent="0.2">
      <c r="A1" s="182" t="s">
        <v>3320</v>
      </c>
      <c r="B1" s="411"/>
      <c r="C1" s="411"/>
      <c r="D1" s="411"/>
    </row>
    <row r="2" spans="1:4" ht="30" customHeight="1" x14ac:dyDescent="0.2">
      <c r="A2" s="183" t="s">
        <v>3321</v>
      </c>
      <c r="B2" s="184"/>
      <c r="C2" s="184"/>
      <c r="D2" s="184"/>
    </row>
    <row r="3" spans="1:4" x14ac:dyDescent="0.2">
      <c r="A3" s="494" t="s">
        <v>2907</v>
      </c>
      <c r="B3" s="416"/>
      <c r="C3" s="416"/>
      <c r="D3" s="416"/>
    </row>
    <row r="5" spans="1:4" ht="24" customHeight="1" x14ac:dyDescent="0.2">
      <c r="A5" s="185" t="s">
        <v>3322</v>
      </c>
      <c r="B5" s="411"/>
      <c r="C5" s="411"/>
      <c r="D5" s="411"/>
    </row>
    <row r="6" spans="1:4" ht="30" customHeight="1" x14ac:dyDescent="0.2">
      <c r="A6" s="410" t="s">
        <v>3323</v>
      </c>
      <c r="B6" s="410" t="s">
        <v>3324</v>
      </c>
      <c r="C6" s="410" t="s">
        <v>3325</v>
      </c>
      <c r="D6" s="410" t="s">
        <v>1881</v>
      </c>
    </row>
    <row r="7" spans="1:4" ht="23.25" customHeight="1" x14ac:dyDescent="0.2">
      <c r="A7" s="207" t="s">
        <v>3326</v>
      </c>
      <c r="B7" s="208" t="s">
        <v>3327</v>
      </c>
      <c r="C7" s="208" t="s">
        <v>3328</v>
      </c>
      <c r="D7" s="209" t="s">
        <v>3329</v>
      </c>
    </row>
    <row r="8" spans="1:4" ht="23.25" customHeight="1" x14ac:dyDescent="0.2">
      <c r="A8" s="210" t="s">
        <v>3330</v>
      </c>
      <c r="B8" s="211" t="s">
        <v>921</v>
      </c>
      <c r="C8" s="211" t="s">
        <v>3331</v>
      </c>
      <c r="D8" s="212" t="s">
        <v>3332</v>
      </c>
    </row>
    <row r="9" spans="1:4" ht="23.25" customHeight="1" x14ac:dyDescent="0.2">
      <c r="A9" s="213" t="s">
        <v>3333</v>
      </c>
      <c r="B9" s="214" t="s">
        <v>1203</v>
      </c>
      <c r="C9" s="214" t="s">
        <v>3334</v>
      </c>
      <c r="D9" s="215" t="s">
        <v>3335</v>
      </c>
    </row>
    <row r="10" spans="1:4" ht="23.25" customHeight="1" x14ac:dyDescent="0.2">
      <c r="A10" s="216" t="s">
        <v>3336</v>
      </c>
      <c r="B10" s="217" t="s">
        <v>929</v>
      </c>
      <c r="C10" s="217" t="s">
        <v>3337</v>
      </c>
      <c r="D10" s="218" t="s">
        <v>3338</v>
      </c>
    </row>
    <row r="11" spans="1:4" ht="26.1" customHeight="1" x14ac:dyDescent="0.2">
      <c r="A11" s="492" t="s">
        <v>3339</v>
      </c>
      <c r="B11" s="416"/>
      <c r="C11" s="416"/>
      <c r="D11" s="416"/>
    </row>
    <row r="13" spans="1:4" ht="24" customHeight="1" x14ac:dyDescent="0.2">
      <c r="A13" s="185" t="s">
        <v>3340</v>
      </c>
      <c r="B13" s="411"/>
      <c r="C13" s="411"/>
      <c r="D13" s="411"/>
    </row>
    <row r="14" spans="1:4" ht="30" customHeight="1" x14ac:dyDescent="0.2">
      <c r="A14" s="410" t="s">
        <v>3324</v>
      </c>
      <c r="B14" s="410" t="s">
        <v>1772</v>
      </c>
      <c r="C14" s="410"/>
      <c r="D14" s="410"/>
    </row>
    <row r="15" spans="1:4" ht="45.75" customHeight="1" x14ac:dyDescent="0.2">
      <c r="A15" s="202" t="s">
        <v>929</v>
      </c>
      <c r="B15" s="409" t="s">
        <v>3341</v>
      </c>
      <c r="C15" s="187"/>
      <c r="D15" s="187"/>
    </row>
    <row r="16" spans="1:4" ht="45.75" customHeight="1" x14ac:dyDescent="0.2">
      <c r="A16" s="202" t="s">
        <v>1203</v>
      </c>
      <c r="B16" s="409" t="s">
        <v>3342</v>
      </c>
      <c r="C16" s="187"/>
      <c r="D16" s="187"/>
    </row>
    <row r="17" spans="1:4" ht="45.75" customHeight="1" x14ac:dyDescent="0.2">
      <c r="A17" s="202" t="s">
        <v>921</v>
      </c>
      <c r="B17" s="409" t="s">
        <v>3343</v>
      </c>
      <c r="C17" s="187"/>
      <c r="D17" s="187"/>
    </row>
    <row r="18" spans="1:4" ht="45.75" customHeight="1" x14ac:dyDescent="0.2">
      <c r="A18" s="202" t="s">
        <v>3327</v>
      </c>
      <c r="B18" s="409" t="s">
        <v>3344</v>
      </c>
      <c r="C18" s="187"/>
      <c r="D18" s="187"/>
    </row>
    <row r="19" spans="1:4" ht="26.1" customHeight="1" x14ac:dyDescent="0.2">
      <c r="A19" s="492" t="s">
        <v>3345</v>
      </c>
      <c r="B19" s="416"/>
      <c r="C19" s="416"/>
      <c r="D19" s="416"/>
    </row>
    <row r="21" spans="1:4" ht="24" customHeight="1" x14ac:dyDescent="0.2">
      <c r="A21" s="185" t="s">
        <v>3346</v>
      </c>
      <c r="B21" s="411"/>
      <c r="C21" s="411"/>
      <c r="D21" s="411"/>
    </row>
    <row r="22" spans="1:4" ht="30" customHeight="1" x14ac:dyDescent="0.2">
      <c r="A22" s="410" t="s">
        <v>3325</v>
      </c>
      <c r="B22" s="410" t="s">
        <v>3347</v>
      </c>
      <c r="C22" s="410"/>
      <c r="D22" s="410"/>
    </row>
    <row r="23" spans="1:4" ht="45.75" customHeight="1" x14ac:dyDescent="0.2">
      <c r="A23" s="202" t="s">
        <v>3331</v>
      </c>
      <c r="B23" s="409" t="s">
        <v>3348</v>
      </c>
      <c r="C23" s="187"/>
      <c r="D23" s="187"/>
    </row>
    <row r="24" spans="1:4" ht="45.75" customHeight="1" x14ac:dyDescent="0.2">
      <c r="A24" s="202" t="s">
        <v>3328</v>
      </c>
      <c r="B24" s="409" t="s">
        <v>3349</v>
      </c>
      <c r="C24" s="187"/>
      <c r="D24" s="187"/>
    </row>
    <row r="25" spans="1:4" ht="45.75" customHeight="1" x14ac:dyDescent="0.2">
      <c r="A25" s="202" t="s">
        <v>3334</v>
      </c>
      <c r="B25" s="409" t="s">
        <v>3350</v>
      </c>
      <c r="C25" s="187"/>
      <c r="D25" s="187"/>
    </row>
    <row r="26" spans="1:4" ht="34.5" customHeight="1" x14ac:dyDescent="0.2">
      <c r="A26" s="202" t="s">
        <v>3337</v>
      </c>
      <c r="B26" s="409" t="s">
        <v>3351</v>
      </c>
      <c r="C26" s="187"/>
      <c r="D26" s="187"/>
    </row>
    <row r="27" spans="1:4" ht="26.1" customHeight="1" x14ac:dyDescent="0.2">
      <c r="A27" s="492" t="s">
        <v>3352</v>
      </c>
      <c r="B27" s="416"/>
      <c r="C27" s="416"/>
      <c r="D27" s="416"/>
    </row>
    <row r="29" spans="1:4" ht="30" customHeight="1" x14ac:dyDescent="0.2">
      <c r="A29" s="497" t="s">
        <v>3353</v>
      </c>
      <c r="B29" s="416"/>
      <c r="C29" s="416"/>
      <c r="D29" s="416"/>
    </row>
    <row r="32" spans="1:4" x14ac:dyDescent="0.2">
      <c r="B32" s="257" t="s">
        <v>853</v>
      </c>
    </row>
  </sheetData>
  <mergeCells count="5">
    <mergeCell ref="A27:D27"/>
    <mergeCell ref="A3:D3"/>
    <mergeCell ref="A29:D29"/>
    <mergeCell ref="A19:D19"/>
    <mergeCell ref="A11:D1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8"/>
  <sheetViews>
    <sheetView workbookViewId="0"/>
  </sheetViews>
  <sheetFormatPr defaultRowHeight="15" x14ac:dyDescent="0.2"/>
  <cols>
    <col min="1" max="1" width="25.9609375" style="396" customWidth="1"/>
    <col min="2" max="4" width="11.97265625" style="396" customWidth="1"/>
    <col min="5" max="5" width="13.98828125" style="396" customWidth="1"/>
    <col min="6" max="6" width="43.98828125" style="396" customWidth="1"/>
  </cols>
  <sheetData>
    <row r="1" spans="1:6" ht="30" customHeight="1" x14ac:dyDescent="0.2">
      <c r="A1" s="182" t="s">
        <v>3354</v>
      </c>
      <c r="B1" s="411"/>
      <c r="C1" s="411"/>
      <c r="D1" s="411"/>
      <c r="E1" s="411"/>
      <c r="F1" s="411"/>
    </row>
    <row r="2" spans="1:6" ht="30" customHeight="1" x14ac:dyDescent="0.2">
      <c r="A2" s="183" t="s">
        <v>3355</v>
      </c>
      <c r="B2" s="184"/>
      <c r="C2" s="184"/>
      <c r="D2" s="184"/>
      <c r="E2" s="184"/>
      <c r="F2" s="184"/>
    </row>
    <row r="3" spans="1:6" x14ac:dyDescent="0.2">
      <c r="A3" s="494" t="s">
        <v>2907</v>
      </c>
      <c r="B3" s="416"/>
      <c r="C3" s="416"/>
      <c r="D3" s="416"/>
      <c r="E3" s="416"/>
      <c r="F3" s="416"/>
    </row>
    <row r="5" spans="1:6" ht="24" customHeight="1" x14ac:dyDescent="0.2">
      <c r="A5" s="185" t="s">
        <v>3356</v>
      </c>
      <c r="B5" s="411"/>
      <c r="C5" s="411"/>
      <c r="D5" s="411"/>
      <c r="E5" s="411"/>
      <c r="F5" s="411"/>
    </row>
    <row r="6" spans="1:6" ht="30" customHeight="1" x14ac:dyDescent="0.2">
      <c r="A6" s="410" t="s">
        <v>3357</v>
      </c>
      <c r="B6" s="410" t="s">
        <v>3358</v>
      </c>
      <c r="C6" s="410"/>
      <c r="D6" s="410"/>
      <c r="E6" s="410" t="s">
        <v>1874</v>
      </c>
      <c r="F6" s="410" t="s">
        <v>1772</v>
      </c>
    </row>
    <row r="7" spans="1:6" x14ac:dyDescent="0.2">
      <c r="A7" s="202" t="s">
        <v>3359</v>
      </c>
      <c r="B7" s="187" t="s">
        <v>3360</v>
      </c>
      <c r="C7" s="187"/>
      <c r="D7" s="187"/>
      <c r="E7" s="187" t="s">
        <v>3361</v>
      </c>
      <c r="F7" s="409" t="s">
        <v>3362</v>
      </c>
    </row>
    <row r="8" spans="1:6" ht="23.25" customHeight="1" x14ac:dyDescent="0.2">
      <c r="A8" s="202" t="s">
        <v>3363</v>
      </c>
      <c r="B8" s="187" t="s">
        <v>3364</v>
      </c>
      <c r="C8" s="187"/>
      <c r="D8" s="187"/>
      <c r="E8" s="187" t="s">
        <v>3365</v>
      </c>
      <c r="F8" s="409" t="s">
        <v>3366</v>
      </c>
    </row>
    <row r="9" spans="1:6" x14ac:dyDescent="0.2">
      <c r="A9" s="202" t="s">
        <v>3367</v>
      </c>
      <c r="B9" s="187" t="s">
        <v>3368</v>
      </c>
      <c r="C9" s="187"/>
      <c r="D9" s="187"/>
      <c r="E9" s="187" t="s">
        <v>3369</v>
      </c>
      <c r="F9" s="409" t="s">
        <v>3370</v>
      </c>
    </row>
    <row r="10" spans="1:6" ht="23.25" customHeight="1" x14ac:dyDescent="0.2">
      <c r="A10" s="202" t="s">
        <v>3371</v>
      </c>
      <c r="B10" s="187" t="s">
        <v>3372</v>
      </c>
      <c r="C10" s="187"/>
      <c r="D10" s="187"/>
      <c r="E10" s="187" t="s">
        <v>3373</v>
      </c>
      <c r="F10" s="409" t="s">
        <v>3374</v>
      </c>
    </row>
    <row r="11" spans="1:6" ht="26.1" customHeight="1" x14ac:dyDescent="0.2">
      <c r="A11" s="492" t="s">
        <v>3375</v>
      </c>
      <c r="B11" s="416"/>
      <c r="C11" s="416"/>
      <c r="D11" s="416"/>
      <c r="E11" s="416"/>
      <c r="F11" s="416"/>
    </row>
    <row r="13" spans="1:6" ht="24" customHeight="1" x14ac:dyDescent="0.2">
      <c r="A13" s="185" t="s">
        <v>3376</v>
      </c>
      <c r="B13" s="411"/>
      <c r="C13" s="411"/>
      <c r="D13" s="411"/>
      <c r="E13" s="411"/>
      <c r="F13" s="411"/>
    </row>
    <row r="14" spans="1:6" ht="30" customHeight="1" x14ac:dyDescent="0.2">
      <c r="A14" s="410" t="s">
        <v>3377</v>
      </c>
      <c r="B14" s="410" t="s">
        <v>3378</v>
      </c>
      <c r="C14" s="410"/>
      <c r="D14" s="410"/>
      <c r="E14" s="410" t="s">
        <v>1804</v>
      </c>
      <c r="F14" s="410" t="s">
        <v>2039</v>
      </c>
    </row>
    <row r="15" spans="1:6" x14ac:dyDescent="0.2">
      <c r="A15" s="202" t="s">
        <v>3379</v>
      </c>
      <c r="B15" s="187">
        <v>0.1</v>
      </c>
      <c r="C15" s="187"/>
      <c r="D15" s="187"/>
      <c r="E15" s="187" t="s">
        <v>3380</v>
      </c>
      <c r="F15" s="409" t="s">
        <v>3381</v>
      </c>
    </row>
    <row r="16" spans="1:6" x14ac:dyDescent="0.2">
      <c r="A16" s="202" t="s">
        <v>3382</v>
      </c>
      <c r="B16" s="187">
        <v>0.1</v>
      </c>
      <c r="C16" s="187"/>
      <c r="D16" s="187"/>
      <c r="E16" s="187" t="s">
        <v>3380</v>
      </c>
      <c r="F16" s="409" t="s">
        <v>3383</v>
      </c>
    </row>
    <row r="17" spans="1:6" x14ac:dyDescent="0.2">
      <c r="A17" s="202" t="s">
        <v>3384</v>
      </c>
      <c r="B17" s="187">
        <v>0.5</v>
      </c>
      <c r="C17" s="187"/>
      <c r="D17" s="187"/>
      <c r="E17" s="187" t="s">
        <v>3380</v>
      </c>
      <c r="F17" s="409" t="s">
        <v>3385</v>
      </c>
    </row>
    <row r="18" spans="1:6" x14ac:dyDescent="0.2">
      <c r="A18" s="202" t="s">
        <v>3386</v>
      </c>
      <c r="B18" s="187">
        <v>0.5</v>
      </c>
      <c r="C18" s="187"/>
      <c r="D18" s="187"/>
      <c r="E18" s="187" t="s">
        <v>3380</v>
      </c>
      <c r="F18" s="409" t="s">
        <v>3387</v>
      </c>
    </row>
    <row r="19" spans="1:6" x14ac:dyDescent="0.2">
      <c r="A19" s="202" t="s">
        <v>3388</v>
      </c>
      <c r="B19" s="187">
        <v>1</v>
      </c>
      <c r="C19" s="187"/>
      <c r="D19" s="187"/>
      <c r="E19" s="187" t="s">
        <v>3380</v>
      </c>
      <c r="F19" s="409" t="s">
        <v>3389</v>
      </c>
    </row>
    <row r="20" spans="1:6" x14ac:dyDescent="0.2">
      <c r="A20" s="202" t="s">
        <v>3390</v>
      </c>
      <c r="B20" s="187">
        <v>3.5</v>
      </c>
      <c r="C20" s="187"/>
      <c r="D20" s="187"/>
      <c r="E20" s="187" t="s">
        <v>3380</v>
      </c>
      <c r="F20" s="409" t="s">
        <v>3391</v>
      </c>
    </row>
    <row r="21" spans="1:6" x14ac:dyDescent="0.2">
      <c r="A21" s="202" t="s">
        <v>3392</v>
      </c>
      <c r="B21" s="410">
        <v>4</v>
      </c>
      <c r="C21" s="187"/>
      <c r="D21" s="187"/>
      <c r="E21" s="187" t="s">
        <v>3393</v>
      </c>
      <c r="F21" s="409" t="s">
        <v>3394</v>
      </c>
    </row>
    <row r="22" spans="1:6" ht="23.25" customHeight="1" x14ac:dyDescent="0.2">
      <c r="A22" s="202" t="s">
        <v>3395</v>
      </c>
      <c r="B22" s="410" t="s">
        <v>3396</v>
      </c>
      <c r="C22" s="187"/>
      <c r="D22" s="187"/>
      <c r="E22" s="187" t="s">
        <v>3397</v>
      </c>
      <c r="F22" s="409" t="s">
        <v>3398</v>
      </c>
    </row>
    <row r="23" spans="1:6" ht="26.1" customHeight="1" x14ac:dyDescent="0.2">
      <c r="A23" s="492" t="s">
        <v>3399</v>
      </c>
      <c r="B23" s="416"/>
      <c r="C23" s="416"/>
      <c r="D23" s="416"/>
      <c r="E23" s="416"/>
      <c r="F23" s="416"/>
    </row>
    <row r="25" spans="1:6" ht="24" customHeight="1" x14ac:dyDescent="0.2">
      <c r="A25" s="185" t="s">
        <v>3400</v>
      </c>
      <c r="B25" s="411"/>
      <c r="C25" s="411"/>
      <c r="D25" s="411"/>
      <c r="E25" s="411"/>
      <c r="F25" s="411"/>
    </row>
    <row r="26" spans="1:6" ht="30" customHeight="1" x14ac:dyDescent="0.2">
      <c r="A26" s="410" t="s">
        <v>1155</v>
      </c>
      <c r="B26" s="410" t="s">
        <v>3401</v>
      </c>
      <c r="C26" s="410" t="s">
        <v>3402</v>
      </c>
      <c r="D26" s="410" t="s">
        <v>3403</v>
      </c>
      <c r="E26" s="410" t="s">
        <v>3404</v>
      </c>
      <c r="F26" s="410" t="s">
        <v>2563</v>
      </c>
    </row>
    <row r="27" spans="1:6" x14ac:dyDescent="0.2">
      <c r="A27" s="202" t="s">
        <v>3405</v>
      </c>
      <c r="B27" s="187">
        <v>9</v>
      </c>
      <c r="C27" s="187">
        <v>8</v>
      </c>
      <c r="D27" s="187">
        <v>10</v>
      </c>
      <c r="E27" s="187">
        <f>B27*C27*D27</f>
        <v>720</v>
      </c>
      <c r="F27" s="409" t="s">
        <v>3406</v>
      </c>
    </row>
    <row r="28" spans="1:6" x14ac:dyDescent="0.2">
      <c r="A28" s="202" t="s">
        <v>3407</v>
      </c>
      <c r="B28" s="187">
        <v>8</v>
      </c>
      <c r="C28" s="187">
        <v>9</v>
      </c>
      <c r="D28" s="187">
        <v>10</v>
      </c>
      <c r="E28" s="187">
        <f>B28*C28*D28</f>
        <v>720</v>
      </c>
      <c r="F28" s="409" t="s">
        <v>3408</v>
      </c>
    </row>
    <row r="29" spans="1:6" x14ac:dyDescent="0.2">
      <c r="A29" s="202" t="s">
        <v>3409</v>
      </c>
      <c r="B29" s="187">
        <v>8</v>
      </c>
      <c r="C29" s="187">
        <v>9</v>
      </c>
      <c r="D29" s="187">
        <v>8</v>
      </c>
      <c r="E29" s="187">
        <f>B29*C29*D29</f>
        <v>576</v>
      </c>
      <c r="F29" s="409" t="s">
        <v>3410</v>
      </c>
    </row>
    <row r="30" spans="1:6" x14ac:dyDescent="0.2">
      <c r="A30" s="202" t="s">
        <v>892</v>
      </c>
      <c r="B30" s="187">
        <v>8</v>
      </c>
      <c r="C30" s="187">
        <v>8</v>
      </c>
      <c r="D30" s="187">
        <v>8</v>
      </c>
      <c r="E30" s="187">
        <f>B30*C30*D30</f>
        <v>512</v>
      </c>
      <c r="F30" s="409" t="s">
        <v>3411</v>
      </c>
    </row>
    <row r="31" spans="1:6" x14ac:dyDescent="0.2">
      <c r="A31" s="202" t="s">
        <v>931</v>
      </c>
      <c r="B31" s="187">
        <v>9</v>
      </c>
      <c r="C31" s="187">
        <v>7</v>
      </c>
      <c r="D31" s="187">
        <v>8</v>
      </c>
      <c r="E31" s="187">
        <f>B31*C31*D31</f>
        <v>504</v>
      </c>
      <c r="F31" s="409" t="s">
        <v>3412</v>
      </c>
    </row>
    <row r="32" spans="1:6" x14ac:dyDescent="0.2">
      <c r="A32" s="202" t="s">
        <v>886</v>
      </c>
      <c r="B32" s="187">
        <v>7</v>
      </c>
      <c r="C32" s="187">
        <v>8</v>
      </c>
      <c r="D32" s="187">
        <v>9</v>
      </c>
      <c r="E32" s="187">
        <f>B32*C32*D32</f>
        <v>504</v>
      </c>
      <c r="F32" s="409" t="s">
        <v>3413</v>
      </c>
    </row>
    <row r="33" spans="1:6" x14ac:dyDescent="0.2">
      <c r="A33" s="202" t="s">
        <v>3414</v>
      </c>
      <c r="B33" s="187">
        <v>9</v>
      </c>
      <c r="C33" s="187">
        <v>7</v>
      </c>
      <c r="D33" s="187">
        <v>8</v>
      </c>
      <c r="E33" s="187">
        <f>B33*C33*D33</f>
        <v>504</v>
      </c>
      <c r="F33" s="409" t="s">
        <v>3415</v>
      </c>
    </row>
    <row r="34" spans="1:6" ht="24" customHeight="1" x14ac:dyDescent="0.2">
      <c r="A34" s="219" t="s">
        <v>3416</v>
      </c>
      <c r="B34" s="498"/>
      <c r="C34" s="416"/>
      <c r="D34" s="416"/>
      <c r="E34" s="416"/>
      <c r="F34" s="416"/>
    </row>
    <row r="35" spans="1:6" ht="26.1" customHeight="1" x14ac:dyDescent="0.2">
      <c r="A35" s="492" t="s">
        <v>3417</v>
      </c>
      <c r="B35" s="416"/>
      <c r="C35" s="416"/>
      <c r="D35" s="416"/>
      <c r="E35" s="416"/>
      <c r="F35" s="416"/>
    </row>
    <row r="38" spans="1:6" x14ac:dyDescent="0.2">
      <c r="B38" s="257" t="s">
        <v>853</v>
      </c>
    </row>
  </sheetData>
  <mergeCells count="5">
    <mergeCell ref="A11:F11"/>
    <mergeCell ref="B34:F34"/>
    <mergeCell ref="A23:F23"/>
    <mergeCell ref="A35:F35"/>
    <mergeCell ref="A3:F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396" customWidth="1"/>
    <col min="2" max="2" width="34.03125" style="396" customWidth="1"/>
    <col min="3" max="3" width="16.0078125" style="396" customWidth="1"/>
    <col min="4" max="4" width="14.9296875" style="396" customWidth="1"/>
    <col min="5" max="5" width="11.02734375" style="396" customWidth="1"/>
    <col min="6" max="6" width="11.97265625" style="396" customWidth="1"/>
    <col min="7" max="7" width="11.02734375" style="396" customWidth="1"/>
    <col min="8" max="8" width="9.01171875" style="396" customWidth="1"/>
    <col min="9" max="9" width="11.02734375" style="396" customWidth="1"/>
    <col min="10" max="10" width="13.98828125" style="396" customWidth="1"/>
    <col min="11" max="11" width="20.984375" style="396" customWidth="1"/>
    <col min="12" max="12" width="62.015625" style="396" customWidth="1"/>
  </cols>
  <sheetData>
    <row r="1" spans="1:12" ht="30" customHeight="1" x14ac:dyDescent="0.2">
      <c r="A1" s="501" t="s">
        <v>3418</v>
      </c>
      <c r="B1" s="416"/>
      <c r="C1" s="416"/>
      <c r="D1" s="416"/>
      <c r="E1" s="416"/>
      <c r="F1" s="416"/>
      <c r="G1" s="416"/>
      <c r="H1" s="416"/>
      <c r="I1" s="416"/>
      <c r="J1" s="416"/>
      <c r="K1" s="416"/>
      <c r="L1" s="416"/>
    </row>
    <row r="2" spans="1:12" ht="33.950000000000003" customHeight="1" x14ac:dyDescent="0.2">
      <c r="A2" s="499" t="s">
        <v>3419</v>
      </c>
      <c r="B2" s="416"/>
      <c r="C2" s="416"/>
      <c r="D2" s="416"/>
      <c r="E2" s="416"/>
      <c r="F2" s="416"/>
      <c r="G2" s="416"/>
      <c r="H2" s="416"/>
      <c r="I2" s="416"/>
      <c r="J2" s="416"/>
      <c r="K2" s="416"/>
      <c r="L2" s="416"/>
    </row>
    <row r="3" spans="1:12" ht="30" customHeight="1" x14ac:dyDescent="0.2">
      <c r="A3" s="503" t="s">
        <v>3420</v>
      </c>
      <c r="B3" s="416"/>
      <c r="C3" s="416"/>
      <c r="D3" s="416"/>
      <c r="E3" s="416"/>
      <c r="F3" s="416"/>
      <c r="G3" s="416"/>
      <c r="H3" s="416"/>
      <c r="I3" s="416"/>
      <c r="J3" s="416"/>
      <c r="K3" s="416"/>
      <c r="L3" s="416"/>
    </row>
    <row r="5" spans="1:12" ht="30" customHeight="1" x14ac:dyDescent="0.2">
      <c r="A5" s="221" t="s">
        <v>22</v>
      </c>
      <c r="B5" s="221" t="s">
        <v>1101</v>
      </c>
      <c r="C5" s="221" t="s">
        <v>1434</v>
      </c>
      <c r="D5" s="221" t="s">
        <v>1377</v>
      </c>
      <c r="E5" s="221" t="s">
        <v>3421</v>
      </c>
      <c r="F5" s="221" t="s">
        <v>3422</v>
      </c>
      <c r="G5" s="221" t="s">
        <v>3423</v>
      </c>
      <c r="H5" s="221" t="s">
        <v>3424</v>
      </c>
      <c r="I5" s="221" t="s">
        <v>3425</v>
      </c>
      <c r="J5" s="221" t="s">
        <v>3426</v>
      </c>
      <c r="K5" s="221" t="s">
        <v>3427</v>
      </c>
      <c r="L5" s="221" t="s">
        <v>254</v>
      </c>
    </row>
    <row r="6" spans="1:12" ht="48" customHeight="1" x14ac:dyDescent="0.2">
      <c r="A6" s="222" t="s">
        <v>2931</v>
      </c>
      <c r="B6" s="223" t="s">
        <v>879</v>
      </c>
      <c r="C6" s="224" t="s">
        <v>882</v>
      </c>
      <c r="D6" s="224" t="s">
        <v>1202</v>
      </c>
      <c r="E6" s="225">
        <v>1</v>
      </c>
      <c r="F6" s="226">
        <v>0.6</v>
      </c>
      <c r="G6" s="227">
        <v>0.2</v>
      </c>
      <c r="H6" s="226">
        <v>0.5</v>
      </c>
      <c r="I6" s="228">
        <v>0.7</v>
      </c>
      <c r="J6" s="224" t="s">
        <v>883</v>
      </c>
      <c r="K6" s="224" t="s">
        <v>3428</v>
      </c>
      <c r="L6" s="229" t="s">
        <v>3429</v>
      </c>
    </row>
    <row r="7" spans="1:12" ht="48" customHeight="1" x14ac:dyDescent="0.2">
      <c r="A7" s="222" t="s">
        <v>2934</v>
      </c>
      <c r="B7" s="223" t="s">
        <v>890</v>
      </c>
      <c r="C7" s="224" t="s">
        <v>882</v>
      </c>
      <c r="D7" s="224" t="s">
        <v>1189</v>
      </c>
      <c r="E7" s="228">
        <v>0.7</v>
      </c>
      <c r="F7" s="226">
        <v>0.5</v>
      </c>
      <c r="G7" s="226">
        <v>0.4</v>
      </c>
      <c r="H7" s="226">
        <v>0.4</v>
      </c>
      <c r="I7" s="226">
        <v>0.6</v>
      </c>
      <c r="J7" s="224" t="s">
        <v>883</v>
      </c>
      <c r="K7" s="224" t="s">
        <v>3430</v>
      </c>
      <c r="L7" s="229" t="s">
        <v>3431</v>
      </c>
    </row>
    <row r="8" spans="1:12" ht="48" customHeight="1" x14ac:dyDescent="0.2">
      <c r="A8" s="222" t="s">
        <v>2937</v>
      </c>
      <c r="B8" s="223" t="s">
        <v>898</v>
      </c>
      <c r="C8" s="224" t="s">
        <v>901</v>
      </c>
      <c r="D8" s="224" t="s">
        <v>1189</v>
      </c>
      <c r="E8" s="226">
        <v>0.5</v>
      </c>
      <c r="F8" s="226">
        <v>0.6</v>
      </c>
      <c r="G8" s="226">
        <v>0.5</v>
      </c>
      <c r="H8" s="226">
        <v>0.4</v>
      </c>
      <c r="I8" s="225">
        <v>0.9</v>
      </c>
      <c r="J8" s="224" t="s">
        <v>3432</v>
      </c>
      <c r="K8" s="224" t="s">
        <v>3433</v>
      </c>
      <c r="L8" s="229" t="s">
        <v>3434</v>
      </c>
    </row>
    <row r="9" spans="1:12" ht="48" customHeight="1" x14ac:dyDescent="0.2">
      <c r="A9" s="222" t="s">
        <v>2940</v>
      </c>
      <c r="B9" s="223" t="s">
        <v>908</v>
      </c>
      <c r="C9" s="224" t="s">
        <v>901</v>
      </c>
      <c r="D9" s="224" t="s">
        <v>1189</v>
      </c>
      <c r="E9" s="226">
        <v>0.6</v>
      </c>
      <c r="F9" s="226">
        <v>0.4</v>
      </c>
      <c r="G9" s="228">
        <v>0.8</v>
      </c>
      <c r="H9" s="226">
        <v>0.6</v>
      </c>
      <c r="I9" s="227">
        <v>0.3</v>
      </c>
      <c r="J9" s="224" t="s">
        <v>1220</v>
      </c>
      <c r="K9" s="224" t="s">
        <v>3435</v>
      </c>
      <c r="L9" s="229" t="s">
        <v>3436</v>
      </c>
    </row>
    <row r="10" spans="1:12" ht="48" customHeight="1" x14ac:dyDescent="0.2">
      <c r="A10" s="222" t="s">
        <v>2942</v>
      </c>
      <c r="B10" s="223" t="s">
        <v>916</v>
      </c>
      <c r="C10" s="224" t="s">
        <v>919</v>
      </c>
      <c r="D10" s="224" t="s">
        <v>1202</v>
      </c>
      <c r="E10" s="226">
        <v>0.5</v>
      </c>
      <c r="F10" s="226">
        <v>0.6</v>
      </c>
      <c r="G10" s="226">
        <v>0.6</v>
      </c>
      <c r="H10" s="226">
        <v>0.6</v>
      </c>
      <c r="I10" s="226">
        <v>0.6</v>
      </c>
      <c r="J10" s="224" t="s">
        <v>1256</v>
      </c>
      <c r="K10" s="224" t="s">
        <v>3430</v>
      </c>
      <c r="L10" s="229" t="s">
        <v>3437</v>
      </c>
    </row>
    <row r="11" spans="1:12" ht="48" customHeight="1" x14ac:dyDescent="0.2">
      <c r="A11" s="222" t="s">
        <v>2945</v>
      </c>
      <c r="B11" s="223" t="s">
        <v>926</v>
      </c>
      <c r="C11" s="224" t="s">
        <v>957</v>
      </c>
      <c r="D11" s="224" t="s">
        <v>1202</v>
      </c>
      <c r="E11" s="227">
        <v>0.2</v>
      </c>
      <c r="F11" s="227">
        <v>0.3</v>
      </c>
      <c r="G11" s="226">
        <v>0.4</v>
      </c>
      <c r="H11" s="225">
        <v>1</v>
      </c>
      <c r="I11" s="226">
        <v>0.5</v>
      </c>
      <c r="J11" s="224" t="s">
        <v>991</v>
      </c>
      <c r="K11" s="224" t="s">
        <v>3438</v>
      </c>
      <c r="L11" s="229" t="s">
        <v>3439</v>
      </c>
    </row>
    <row r="12" spans="1:12" ht="48" customHeight="1" x14ac:dyDescent="0.2">
      <c r="A12" s="222" t="s">
        <v>2948</v>
      </c>
      <c r="B12" s="223" t="s">
        <v>934</v>
      </c>
      <c r="C12" s="224" t="s">
        <v>919</v>
      </c>
      <c r="D12" s="224" t="s">
        <v>1202</v>
      </c>
      <c r="E12" s="226">
        <v>0.5</v>
      </c>
      <c r="F12" s="226">
        <v>0.4</v>
      </c>
      <c r="G12" s="225">
        <v>1</v>
      </c>
      <c r="H12" s="228">
        <v>0.8</v>
      </c>
      <c r="I12" s="226">
        <v>0.4</v>
      </c>
      <c r="J12" s="224" t="s">
        <v>1220</v>
      </c>
      <c r="K12" s="224" t="s">
        <v>3435</v>
      </c>
      <c r="L12" s="229" t="s">
        <v>3440</v>
      </c>
    </row>
    <row r="13" spans="1:12" ht="48" customHeight="1" x14ac:dyDescent="0.2">
      <c r="A13" s="222" t="s">
        <v>2950</v>
      </c>
      <c r="B13" s="223" t="s">
        <v>938</v>
      </c>
      <c r="C13" s="224" t="s">
        <v>941</v>
      </c>
      <c r="D13" s="224" t="s">
        <v>1202</v>
      </c>
      <c r="E13" s="226">
        <v>0.4</v>
      </c>
      <c r="F13" s="226">
        <v>0.4</v>
      </c>
      <c r="G13" s="225">
        <v>0.9</v>
      </c>
      <c r="H13" s="228">
        <v>0.8</v>
      </c>
      <c r="I13" s="226">
        <v>0.4</v>
      </c>
      <c r="J13" s="224" t="s">
        <v>1220</v>
      </c>
      <c r="K13" s="224" t="s">
        <v>3435</v>
      </c>
      <c r="L13" s="229" t="s">
        <v>3441</v>
      </c>
    </row>
    <row r="14" spans="1:12" ht="48" customHeight="1" x14ac:dyDescent="0.2">
      <c r="A14" s="222" t="s">
        <v>2953</v>
      </c>
      <c r="B14" s="223" t="s">
        <v>947</v>
      </c>
      <c r="C14" s="224" t="s">
        <v>957</v>
      </c>
      <c r="D14" s="224" t="s">
        <v>2687</v>
      </c>
      <c r="E14" s="227">
        <v>0.2</v>
      </c>
      <c r="F14" s="228">
        <v>0.7</v>
      </c>
      <c r="G14" s="225">
        <v>1</v>
      </c>
      <c r="H14" s="226">
        <v>0.5</v>
      </c>
      <c r="I14" s="226">
        <v>0.6</v>
      </c>
      <c r="J14" s="224" t="s">
        <v>1220</v>
      </c>
      <c r="K14" s="224" t="s">
        <v>3435</v>
      </c>
      <c r="L14" s="229" t="s">
        <v>3442</v>
      </c>
    </row>
    <row r="15" spans="1:12" ht="48" customHeight="1" x14ac:dyDescent="0.2">
      <c r="A15" s="222" t="s">
        <v>2956</v>
      </c>
      <c r="B15" s="223" t="s">
        <v>952</v>
      </c>
      <c r="C15" s="224" t="s">
        <v>919</v>
      </c>
      <c r="D15" s="224" t="s">
        <v>1202</v>
      </c>
      <c r="E15" s="228">
        <v>0.7</v>
      </c>
      <c r="F15" s="226">
        <v>0.4</v>
      </c>
      <c r="G15" s="226">
        <v>0.5</v>
      </c>
      <c r="H15" s="226">
        <v>0.6</v>
      </c>
      <c r="I15" s="226">
        <v>0.4</v>
      </c>
      <c r="J15" s="224" t="s">
        <v>883</v>
      </c>
      <c r="K15" s="224" t="s">
        <v>3430</v>
      </c>
      <c r="L15" s="229" t="s">
        <v>3443</v>
      </c>
    </row>
    <row r="16" spans="1:12" ht="48" customHeight="1" x14ac:dyDescent="0.2">
      <c r="A16" s="222" t="s">
        <v>2958</v>
      </c>
      <c r="B16" s="223" t="s">
        <v>956</v>
      </c>
      <c r="C16" s="224" t="s">
        <v>957</v>
      </c>
      <c r="D16" s="224" t="s">
        <v>2687</v>
      </c>
      <c r="E16" s="227">
        <v>0.3</v>
      </c>
      <c r="F16" s="228">
        <v>0.7</v>
      </c>
      <c r="G16" s="228">
        <v>0.7</v>
      </c>
      <c r="H16" s="225">
        <v>0.9</v>
      </c>
      <c r="I16" s="226">
        <v>0.4</v>
      </c>
      <c r="J16" s="224" t="s">
        <v>991</v>
      </c>
      <c r="K16" s="224" t="s">
        <v>3438</v>
      </c>
      <c r="L16" s="229" t="s">
        <v>3444</v>
      </c>
    </row>
    <row r="17" spans="1:12" ht="48" customHeight="1" x14ac:dyDescent="0.2">
      <c r="A17" s="222" t="s">
        <v>2960</v>
      </c>
      <c r="B17" s="223" t="s">
        <v>961</v>
      </c>
      <c r="C17" s="224" t="s">
        <v>962</v>
      </c>
      <c r="D17" s="224" t="s">
        <v>2687</v>
      </c>
      <c r="E17" s="226">
        <v>0.4</v>
      </c>
      <c r="F17" s="226">
        <v>0.6</v>
      </c>
      <c r="G17" s="228">
        <v>0.8</v>
      </c>
      <c r="H17" s="225">
        <v>0.9</v>
      </c>
      <c r="I17" s="226">
        <v>0.6</v>
      </c>
      <c r="J17" s="224" t="s">
        <v>991</v>
      </c>
      <c r="K17" s="224" t="s">
        <v>3438</v>
      </c>
      <c r="L17" s="229" t="s">
        <v>3445</v>
      </c>
    </row>
    <row r="18" spans="1:12" ht="48" customHeight="1" x14ac:dyDescent="0.2">
      <c r="A18" s="222" t="s">
        <v>2963</v>
      </c>
      <c r="B18" s="223" t="s">
        <v>967</v>
      </c>
      <c r="C18" s="224" t="s">
        <v>962</v>
      </c>
      <c r="D18" s="224" t="s">
        <v>2687</v>
      </c>
      <c r="E18" s="226">
        <v>0.4</v>
      </c>
      <c r="F18" s="226">
        <v>0.6</v>
      </c>
      <c r="G18" s="225">
        <v>1</v>
      </c>
      <c r="H18" s="225">
        <v>0.9</v>
      </c>
      <c r="I18" s="226">
        <v>0.4</v>
      </c>
      <c r="J18" s="224" t="s">
        <v>1220</v>
      </c>
      <c r="K18" s="224" t="s">
        <v>3435</v>
      </c>
      <c r="L18" s="229" t="s">
        <v>3446</v>
      </c>
    </row>
    <row r="19" spans="1:12" ht="48" customHeight="1" x14ac:dyDescent="0.2">
      <c r="A19" s="222" t="s">
        <v>2965</v>
      </c>
      <c r="B19" s="223" t="s">
        <v>971</v>
      </c>
      <c r="C19" s="224" t="s">
        <v>972</v>
      </c>
      <c r="D19" s="224" t="s">
        <v>1202</v>
      </c>
      <c r="E19" s="228">
        <v>0.8</v>
      </c>
      <c r="F19" s="226">
        <v>0.5</v>
      </c>
      <c r="G19" s="228">
        <v>0.8</v>
      </c>
      <c r="H19" s="226">
        <v>0.4</v>
      </c>
      <c r="I19" s="226">
        <v>0.5</v>
      </c>
      <c r="J19" s="224" t="s">
        <v>883</v>
      </c>
      <c r="K19" s="224" t="s">
        <v>3447</v>
      </c>
      <c r="L19" s="229" t="s">
        <v>3448</v>
      </c>
    </row>
    <row r="20" spans="1:12" ht="48" customHeight="1" x14ac:dyDescent="0.2">
      <c r="A20" s="222" t="s">
        <v>2968</v>
      </c>
      <c r="B20" s="223" t="s">
        <v>978</v>
      </c>
      <c r="C20" s="224" t="s">
        <v>972</v>
      </c>
      <c r="D20" s="224" t="s">
        <v>2373</v>
      </c>
      <c r="E20" s="227">
        <v>0.3</v>
      </c>
      <c r="F20" s="225">
        <v>1</v>
      </c>
      <c r="G20" s="226">
        <v>0.5</v>
      </c>
      <c r="H20" s="227">
        <v>0.3</v>
      </c>
      <c r="I20" s="228">
        <v>0.7</v>
      </c>
      <c r="J20" s="224" t="s">
        <v>1256</v>
      </c>
      <c r="K20" s="224" t="s">
        <v>3449</v>
      </c>
      <c r="L20" s="229" t="s">
        <v>3450</v>
      </c>
    </row>
    <row r="21" spans="1:12" ht="48" customHeight="1" x14ac:dyDescent="0.2">
      <c r="A21" s="222" t="s">
        <v>2971</v>
      </c>
      <c r="B21" s="223" t="s">
        <v>983</v>
      </c>
      <c r="C21" s="224" t="s">
        <v>984</v>
      </c>
      <c r="D21" s="224" t="s">
        <v>1202</v>
      </c>
      <c r="E21" s="228">
        <v>0.7</v>
      </c>
      <c r="F21" s="226">
        <v>0.5</v>
      </c>
      <c r="G21" s="225">
        <v>0.9</v>
      </c>
      <c r="H21" s="226">
        <v>0.5</v>
      </c>
      <c r="I21" s="226">
        <v>0.6</v>
      </c>
      <c r="J21" s="224" t="s">
        <v>1220</v>
      </c>
      <c r="K21" s="224" t="s">
        <v>3435</v>
      </c>
      <c r="L21" s="229" t="s">
        <v>3451</v>
      </c>
    </row>
    <row r="22" spans="1:12" ht="48" customHeight="1" x14ac:dyDescent="0.2">
      <c r="A22" s="222" t="s">
        <v>2974</v>
      </c>
      <c r="B22" s="223" t="s">
        <v>989</v>
      </c>
      <c r="C22" s="224" t="s">
        <v>1114</v>
      </c>
      <c r="D22" s="224" t="s">
        <v>1202</v>
      </c>
      <c r="E22" s="225">
        <v>1</v>
      </c>
      <c r="F22" s="226">
        <v>0.5</v>
      </c>
      <c r="G22" s="226">
        <v>0.6</v>
      </c>
      <c r="H22" s="228">
        <v>0.8</v>
      </c>
      <c r="I22" s="226">
        <v>0.5</v>
      </c>
      <c r="J22" s="224" t="s">
        <v>883</v>
      </c>
      <c r="K22" s="224" t="s">
        <v>3428</v>
      </c>
      <c r="L22" s="229" t="s">
        <v>3452</v>
      </c>
    </row>
    <row r="23" spans="1:12" ht="48" customHeight="1" x14ac:dyDescent="0.2">
      <c r="A23" s="222" t="s">
        <v>2977</v>
      </c>
      <c r="B23" s="223" t="s">
        <v>995</v>
      </c>
      <c r="C23" s="224" t="s">
        <v>984</v>
      </c>
      <c r="D23" s="224" t="s">
        <v>2687</v>
      </c>
      <c r="E23" s="226">
        <v>0.6</v>
      </c>
      <c r="F23" s="226">
        <v>0.5</v>
      </c>
      <c r="G23" s="225">
        <v>1</v>
      </c>
      <c r="H23" s="225">
        <v>0.9</v>
      </c>
      <c r="I23" s="226">
        <v>0.6</v>
      </c>
      <c r="J23" s="224" t="s">
        <v>1220</v>
      </c>
      <c r="K23" s="224" t="s">
        <v>3435</v>
      </c>
      <c r="L23" s="229" t="s">
        <v>3453</v>
      </c>
    </row>
    <row r="24" spans="1:12" ht="48" customHeight="1" x14ac:dyDescent="0.2">
      <c r="A24" s="222" t="s">
        <v>2980</v>
      </c>
      <c r="B24" s="223" t="s">
        <v>1001</v>
      </c>
      <c r="C24" s="224" t="s">
        <v>1470</v>
      </c>
      <c r="D24" s="224" t="s">
        <v>2388</v>
      </c>
      <c r="E24" s="227">
        <v>0.3</v>
      </c>
      <c r="F24" s="225">
        <v>1</v>
      </c>
      <c r="G24" s="226">
        <v>0.6</v>
      </c>
      <c r="H24" s="226">
        <v>0.5</v>
      </c>
      <c r="I24" s="228">
        <v>0.7</v>
      </c>
      <c r="J24" s="224" t="s">
        <v>1256</v>
      </c>
      <c r="K24" s="224" t="s">
        <v>3449</v>
      </c>
      <c r="L24" s="229" t="s">
        <v>3454</v>
      </c>
    </row>
    <row r="25" spans="1:12" ht="48" customHeight="1" x14ac:dyDescent="0.2">
      <c r="A25" s="222" t="s">
        <v>2983</v>
      </c>
      <c r="B25" s="223" t="s">
        <v>1008</v>
      </c>
      <c r="C25" s="224" t="s">
        <v>941</v>
      </c>
      <c r="D25" s="224" t="s">
        <v>1202</v>
      </c>
      <c r="E25" s="228">
        <v>0.7</v>
      </c>
      <c r="F25" s="226">
        <v>0.4</v>
      </c>
      <c r="G25" s="225">
        <v>0.9</v>
      </c>
      <c r="H25" s="228">
        <v>0.8</v>
      </c>
      <c r="I25" s="226">
        <v>0.5</v>
      </c>
      <c r="J25" s="224" t="s">
        <v>1220</v>
      </c>
      <c r="K25" s="224" t="s">
        <v>3435</v>
      </c>
      <c r="L25" s="229" t="s">
        <v>3455</v>
      </c>
    </row>
    <row r="26" spans="1:12" ht="48" customHeight="1" x14ac:dyDescent="0.2">
      <c r="A26" s="222" t="s">
        <v>2985</v>
      </c>
      <c r="B26" s="223" t="s">
        <v>1013</v>
      </c>
      <c r="C26" s="224" t="s">
        <v>1016</v>
      </c>
      <c r="D26" s="224" t="s">
        <v>1202</v>
      </c>
      <c r="E26" s="226">
        <v>0.6</v>
      </c>
      <c r="F26" s="225">
        <v>0.9</v>
      </c>
      <c r="G26" s="227">
        <v>0.3</v>
      </c>
      <c r="H26" s="225">
        <v>1</v>
      </c>
      <c r="I26" s="228">
        <v>0.8</v>
      </c>
      <c r="J26" s="224" t="s">
        <v>991</v>
      </c>
      <c r="K26" s="224" t="s">
        <v>3438</v>
      </c>
      <c r="L26" s="229" t="s">
        <v>3456</v>
      </c>
    </row>
    <row r="27" spans="1:12" ht="48" customHeight="1" x14ac:dyDescent="0.2">
      <c r="A27" s="222" t="s">
        <v>2988</v>
      </c>
      <c r="B27" s="223" t="s">
        <v>1022</v>
      </c>
      <c r="C27" s="224" t="s">
        <v>1016</v>
      </c>
      <c r="D27" s="224" t="s">
        <v>2687</v>
      </c>
      <c r="E27" s="227">
        <v>0.2</v>
      </c>
      <c r="F27" s="228">
        <v>0.7</v>
      </c>
      <c r="G27" s="227">
        <v>0.3</v>
      </c>
      <c r="H27" s="228">
        <v>0.7</v>
      </c>
      <c r="I27" s="225">
        <v>1</v>
      </c>
      <c r="J27" s="224" t="s">
        <v>3432</v>
      </c>
      <c r="K27" s="224" t="s">
        <v>3433</v>
      </c>
      <c r="L27" s="229" t="s">
        <v>3457</v>
      </c>
    </row>
    <row r="28" spans="1:12" ht="48" customHeight="1" x14ac:dyDescent="0.2">
      <c r="A28" s="222" t="s">
        <v>2991</v>
      </c>
      <c r="B28" s="223" t="s">
        <v>1026</v>
      </c>
      <c r="C28" s="224" t="s">
        <v>1470</v>
      </c>
      <c r="D28" s="224" t="s">
        <v>2687</v>
      </c>
      <c r="E28" s="226">
        <v>0.5</v>
      </c>
      <c r="F28" s="228">
        <v>0.7</v>
      </c>
      <c r="G28" s="225">
        <v>0.9</v>
      </c>
      <c r="H28" s="228">
        <v>0.8</v>
      </c>
      <c r="I28" s="228">
        <v>0.8</v>
      </c>
      <c r="J28" s="224" t="s">
        <v>1220</v>
      </c>
      <c r="K28" s="224" t="s">
        <v>3435</v>
      </c>
      <c r="L28" s="229" t="s">
        <v>3458</v>
      </c>
    </row>
    <row r="29" spans="1:12" ht="48" customHeight="1" x14ac:dyDescent="0.2">
      <c r="A29" s="222" t="s">
        <v>2994</v>
      </c>
      <c r="B29" s="223" t="s">
        <v>1031</v>
      </c>
      <c r="C29" s="224" t="s">
        <v>1114</v>
      </c>
      <c r="D29" s="224" t="s">
        <v>1189</v>
      </c>
      <c r="E29" s="226">
        <v>0.6</v>
      </c>
      <c r="F29" s="228">
        <v>0.7</v>
      </c>
      <c r="G29" s="228">
        <v>0.7</v>
      </c>
      <c r="H29" s="226">
        <v>0.6</v>
      </c>
      <c r="I29" s="228">
        <v>0.7</v>
      </c>
      <c r="J29" s="224" t="s">
        <v>1256</v>
      </c>
      <c r="K29" s="224" t="s">
        <v>3430</v>
      </c>
      <c r="L29" s="229" t="s">
        <v>3459</v>
      </c>
    </row>
    <row r="30" spans="1:12" ht="48" customHeight="1" x14ac:dyDescent="0.2">
      <c r="A30" s="222" t="s">
        <v>2997</v>
      </c>
      <c r="B30" s="223" t="s">
        <v>1035</v>
      </c>
      <c r="C30" s="224" t="s">
        <v>1114</v>
      </c>
      <c r="D30" s="224" t="s">
        <v>2687</v>
      </c>
      <c r="E30" s="226">
        <v>0.6</v>
      </c>
      <c r="F30" s="226">
        <v>0.5</v>
      </c>
      <c r="G30" s="225">
        <v>1</v>
      </c>
      <c r="H30" s="225">
        <v>0.9</v>
      </c>
      <c r="I30" s="226">
        <v>0.6</v>
      </c>
      <c r="J30" s="224" t="s">
        <v>1220</v>
      </c>
      <c r="K30" s="224" t="s">
        <v>3435</v>
      </c>
      <c r="L30" s="229" t="s">
        <v>3460</v>
      </c>
    </row>
    <row r="31" spans="1:12" ht="48" customHeight="1" x14ac:dyDescent="0.2">
      <c r="A31" s="222" t="s">
        <v>3000</v>
      </c>
      <c r="B31" s="223" t="s">
        <v>1040</v>
      </c>
      <c r="C31" s="224" t="s">
        <v>919</v>
      </c>
      <c r="D31" s="224" t="s">
        <v>1202</v>
      </c>
      <c r="E31" s="225">
        <v>0.9</v>
      </c>
      <c r="F31" s="226">
        <v>0.5</v>
      </c>
      <c r="G31" s="226">
        <v>0.6</v>
      </c>
      <c r="H31" s="228">
        <v>0.7</v>
      </c>
      <c r="I31" s="226">
        <v>0.4</v>
      </c>
      <c r="J31" s="224" t="s">
        <v>883</v>
      </c>
      <c r="K31" s="224" t="s">
        <v>3428</v>
      </c>
      <c r="L31" s="229" t="s">
        <v>3461</v>
      </c>
    </row>
    <row r="32" spans="1:12" ht="48" customHeight="1" x14ac:dyDescent="0.2">
      <c r="A32" s="222" t="s">
        <v>3002</v>
      </c>
      <c r="B32" s="223" t="s">
        <v>1045</v>
      </c>
      <c r="C32" s="224" t="s">
        <v>1470</v>
      </c>
      <c r="D32" s="224" t="s">
        <v>2373</v>
      </c>
      <c r="E32" s="226">
        <v>0.5</v>
      </c>
      <c r="F32" s="225">
        <v>1</v>
      </c>
      <c r="G32" s="225">
        <v>0.9</v>
      </c>
      <c r="H32" s="228">
        <v>0.7</v>
      </c>
      <c r="I32" s="226">
        <v>0.6</v>
      </c>
      <c r="J32" s="224" t="s">
        <v>1256</v>
      </c>
      <c r="K32" s="224" t="s">
        <v>3449</v>
      </c>
      <c r="L32" s="229" t="s">
        <v>3462</v>
      </c>
    </row>
    <row r="33" spans="1:12" ht="48" customHeight="1" x14ac:dyDescent="0.2">
      <c r="A33" s="222" t="s">
        <v>3005</v>
      </c>
      <c r="B33" s="223" t="s">
        <v>1050</v>
      </c>
      <c r="C33" s="224" t="s">
        <v>1470</v>
      </c>
      <c r="D33" s="224" t="s">
        <v>2373</v>
      </c>
      <c r="E33" s="226">
        <v>0.5</v>
      </c>
      <c r="F33" s="228">
        <v>0.8</v>
      </c>
      <c r="G33" s="228">
        <v>0.8</v>
      </c>
      <c r="H33" s="228">
        <v>0.7</v>
      </c>
      <c r="I33" s="228">
        <v>0.7</v>
      </c>
      <c r="J33" s="224" t="s">
        <v>1256</v>
      </c>
      <c r="K33" s="224" t="s">
        <v>3430</v>
      </c>
      <c r="L33" s="229" t="s">
        <v>3463</v>
      </c>
    </row>
    <row r="34" spans="1:12" ht="48" customHeight="1" x14ac:dyDescent="0.2">
      <c r="A34" s="222" t="s">
        <v>3007</v>
      </c>
      <c r="B34" s="223" t="s">
        <v>1055</v>
      </c>
      <c r="C34" s="224" t="s">
        <v>1016</v>
      </c>
      <c r="D34" s="224" t="s">
        <v>2373</v>
      </c>
      <c r="E34" s="226">
        <v>0.4</v>
      </c>
      <c r="F34" s="225">
        <v>1</v>
      </c>
      <c r="G34" s="225">
        <v>1</v>
      </c>
      <c r="H34" s="226">
        <v>0.6</v>
      </c>
      <c r="I34" s="225">
        <v>0.9</v>
      </c>
      <c r="J34" s="224" t="s">
        <v>1256</v>
      </c>
      <c r="K34" s="224" t="s">
        <v>3464</v>
      </c>
      <c r="L34" s="229" t="s">
        <v>3465</v>
      </c>
    </row>
    <row r="35" spans="1:12" ht="48" customHeight="1" x14ac:dyDescent="0.2">
      <c r="A35" s="222" t="s">
        <v>3010</v>
      </c>
      <c r="B35" s="223" t="s">
        <v>1061</v>
      </c>
      <c r="C35" s="224" t="s">
        <v>984</v>
      </c>
      <c r="D35" s="224" t="s">
        <v>2687</v>
      </c>
      <c r="E35" s="226">
        <v>0.4</v>
      </c>
      <c r="F35" s="226">
        <v>0.4</v>
      </c>
      <c r="G35" s="225">
        <v>0.9</v>
      </c>
      <c r="H35" s="228">
        <v>0.8</v>
      </c>
      <c r="I35" s="226">
        <v>0.4</v>
      </c>
      <c r="J35" s="224" t="s">
        <v>1220</v>
      </c>
      <c r="K35" s="224" t="s">
        <v>3435</v>
      </c>
      <c r="L35" s="229" t="s">
        <v>3466</v>
      </c>
    </row>
    <row r="36" spans="1:12" ht="48" customHeight="1" x14ac:dyDescent="0.2">
      <c r="A36" s="222" t="s">
        <v>3012</v>
      </c>
      <c r="B36" s="223" t="s">
        <v>1066</v>
      </c>
      <c r="C36" s="224" t="s">
        <v>941</v>
      </c>
      <c r="D36" s="224" t="s">
        <v>2388</v>
      </c>
      <c r="E36" s="226">
        <v>0.4</v>
      </c>
      <c r="F36" s="228">
        <v>0.7</v>
      </c>
      <c r="G36" s="226">
        <v>0.5</v>
      </c>
      <c r="H36" s="226">
        <v>0.6</v>
      </c>
      <c r="I36" s="225">
        <v>0.9</v>
      </c>
      <c r="J36" s="224" t="s">
        <v>3432</v>
      </c>
      <c r="K36" s="224" t="s">
        <v>3433</v>
      </c>
      <c r="L36" s="229" t="s">
        <v>3467</v>
      </c>
    </row>
    <row r="37" spans="1:12" ht="48" customHeight="1" x14ac:dyDescent="0.2">
      <c r="A37" s="222" t="s">
        <v>3015</v>
      </c>
      <c r="B37" s="223" t="s">
        <v>1071</v>
      </c>
      <c r="C37" s="224" t="s">
        <v>1016</v>
      </c>
      <c r="D37" s="224" t="s">
        <v>1202</v>
      </c>
      <c r="E37" s="226">
        <v>0.4</v>
      </c>
      <c r="F37" s="225">
        <v>1</v>
      </c>
      <c r="G37" s="226">
        <v>0.4</v>
      </c>
      <c r="H37" s="228">
        <v>0.7</v>
      </c>
      <c r="I37" s="225">
        <v>0.9</v>
      </c>
      <c r="J37" s="224" t="s">
        <v>1256</v>
      </c>
      <c r="K37" s="224" t="s">
        <v>3449</v>
      </c>
      <c r="L37" s="229" t="s">
        <v>3468</v>
      </c>
    </row>
    <row r="38" spans="1:12" ht="48" customHeight="1" x14ac:dyDescent="0.2">
      <c r="A38" s="222" t="s">
        <v>3017</v>
      </c>
      <c r="B38" s="223" t="s">
        <v>1075</v>
      </c>
      <c r="C38" s="224" t="s">
        <v>962</v>
      </c>
      <c r="D38" s="224" t="s">
        <v>2687</v>
      </c>
      <c r="E38" s="226">
        <v>0.5</v>
      </c>
      <c r="F38" s="226">
        <v>0.5</v>
      </c>
      <c r="G38" s="225">
        <v>1</v>
      </c>
      <c r="H38" s="228">
        <v>0.7</v>
      </c>
      <c r="I38" s="226">
        <v>0.6</v>
      </c>
      <c r="J38" s="224" t="s">
        <v>1220</v>
      </c>
      <c r="K38" s="224" t="s">
        <v>3435</v>
      </c>
      <c r="L38" s="229" t="s">
        <v>3469</v>
      </c>
    </row>
    <row r="39" spans="1:12" ht="48" customHeight="1" x14ac:dyDescent="0.2">
      <c r="A39" s="222" t="s">
        <v>3019</v>
      </c>
      <c r="B39" s="223" t="s">
        <v>1080</v>
      </c>
      <c r="C39" s="224" t="s">
        <v>941</v>
      </c>
      <c r="D39" s="224" t="s">
        <v>2687</v>
      </c>
      <c r="E39" s="226">
        <v>0.4</v>
      </c>
      <c r="F39" s="227">
        <v>0.3</v>
      </c>
      <c r="G39" s="226">
        <v>0.5</v>
      </c>
      <c r="H39" s="225">
        <v>1</v>
      </c>
      <c r="I39" s="227">
        <v>0.3</v>
      </c>
      <c r="J39" s="224" t="s">
        <v>991</v>
      </c>
      <c r="K39" s="224" t="s">
        <v>3438</v>
      </c>
      <c r="L39" s="229" t="s">
        <v>3470</v>
      </c>
    </row>
    <row r="40" spans="1:12" ht="48" customHeight="1" x14ac:dyDescent="0.2">
      <c r="A40" s="222" t="s">
        <v>3022</v>
      </c>
      <c r="B40" s="223" t="s">
        <v>1085</v>
      </c>
      <c r="C40" s="224" t="s">
        <v>984</v>
      </c>
      <c r="D40" s="224" t="s">
        <v>1202</v>
      </c>
      <c r="E40" s="226">
        <v>0.6</v>
      </c>
      <c r="F40" s="226">
        <v>0.5</v>
      </c>
      <c r="G40" s="225">
        <v>0.9</v>
      </c>
      <c r="H40" s="228">
        <v>0.7</v>
      </c>
      <c r="I40" s="228">
        <v>0.7</v>
      </c>
      <c r="J40" s="224" t="s">
        <v>1220</v>
      </c>
      <c r="K40" s="224" t="s">
        <v>3435</v>
      </c>
      <c r="L40" s="229" t="s">
        <v>3471</v>
      </c>
    </row>
    <row r="41" spans="1:12" ht="48" customHeight="1" x14ac:dyDescent="0.2">
      <c r="A41" s="222" t="s">
        <v>3024</v>
      </c>
      <c r="B41" s="223" t="s">
        <v>1090</v>
      </c>
      <c r="C41" s="224" t="s">
        <v>1091</v>
      </c>
      <c r="D41" s="224" t="s">
        <v>2373</v>
      </c>
      <c r="E41" s="227">
        <v>0.3</v>
      </c>
      <c r="F41" s="225">
        <v>0.9</v>
      </c>
      <c r="G41" s="225">
        <v>1</v>
      </c>
      <c r="H41" s="228">
        <v>0.8</v>
      </c>
      <c r="I41" s="228">
        <v>0.8</v>
      </c>
      <c r="J41" s="224" t="s">
        <v>1220</v>
      </c>
      <c r="K41" s="224" t="s">
        <v>3435</v>
      </c>
      <c r="L41" s="229" t="s">
        <v>3472</v>
      </c>
    </row>
    <row r="42" spans="1:12" ht="48" customHeight="1" x14ac:dyDescent="0.2">
      <c r="A42" s="222" t="s">
        <v>3027</v>
      </c>
      <c r="B42" s="223" t="s">
        <v>1095</v>
      </c>
      <c r="C42" s="224" t="s">
        <v>1091</v>
      </c>
      <c r="D42" s="224" t="s">
        <v>2388</v>
      </c>
      <c r="E42" s="227">
        <v>0.3</v>
      </c>
      <c r="F42" s="225">
        <v>1</v>
      </c>
      <c r="G42" s="226">
        <v>0.4</v>
      </c>
      <c r="H42" s="228">
        <v>0.8</v>
      </c>
      <c r="I42" s="225">
        <v>1</v>
      </c>
      <c r="J42" s="224" t="s">
        <v>1256</v>
      </c>
      <c r="K42" s="224" t="s">
        <v>3473</v>
      </c>
      <c r="L42" s="229" t="s">
        <v>3474</v>
      </c>
    </row>
    <row r="43" spans="1:12" ht="48" customHeight="1" x14ac:dyDescent="0.2">
      <c r="A43" s="230" t="s">
        <v>3030</v>
      </c>
      <c r="B43" s="223" t="s">
        <v>1108</v>
      </c>
      <c r="C43" s="224" t="s">
        <v>941</v>
      </c>
      <c r="D43" s="224" t="s">
        <v>1202</v>
      </c>
      <c r="E43" s="228">
        <v>0.7</v>
      </c>
      <c r="F43" s="226">
        <v>0.4</v>
      </c>
      <c r="G43" s="225">
        <v>0.9</v>
      </c>
      <c r="H43" s="228">
        <v>0.7</v>
      </c>
      <c r="I43" s="226">
        <v>0.5</v>
      </c>
      <c r="J43" s="224" t="s">
        <v>1220</v>
      </c>
      <c r="K43" s="224" t="s">
        <v>3435</v>
      </c>
      <c r="L43" s="229" t="s">
        <v>3475</v>
      </c>
    </row>
    <row r="44" spans="1:12" ht="48" customHeight="1" x14ac:dyDescent="0.2">
      <c r="A44" s="230" t="s">
        <v>3032</v>
      </c>
      <c r="B44" s="223" t="s">
        <v>1110</v>
      </c>
      <c r="C44" s="224" t="s">
        <v>984</v>
      </c>
      <c r="D44" s="224" t="s">
        <v>1202</v>
      </c>
      <c r="E44" s="228">
        <v>0.7</v>
      </c>
      <c r="F44" s="226">
        <v>0.4</v>
      </c>
      <c r="G44" s="225">
        <v>0.9</v>
      </c>
      <c r="H44" s="226">
        <v>0.5</v>
      </c>
      <c r="I44" s="226">
        <v>0.6</v>
      </c>
      <c r="J44" s="224" t="s">
        <v>1220</v>
      </c>
      <c r="K44" s="224" t="s">
        <v>3435</v>
      </c>
      <c r="L44" s="229" t="s">
        <v>3476</v>
      </c>
    </row>
    <row r="45" spans="1:12" ht="48" customHeight="1" x14ac:dyDescent="0.2">
      <c r="A45" s="230" t="s">
        <v>3034</v>
      </c>
      <c r="B45" s="223" t="s">
        <v>1111</v>
      </c>
      <c r="C45" s="224" t="s">
        <v>1114</v>
      </c>
      <c r="D45" s="224" t="s">
        <v>1202</v>
      </c>
      <c r="E45" s="225">
        <v>1</v>
      </c>
      <c r="F45" s="226">
        <v>0.4</v>
      </c>
      <c r="G45" s="228">
        <v>0.7</v>
      </c>
      <c r="H45" s="228">
        <v>0.7</v>
      </c>
      <c r="I45" s="226">
        <v>0.5</v>
      </c>
      <c r="J45" s="224" t="s">
        <v>883</v>
      </c>
      <c r="K45" s="224" t="s">
        <v>3428</v>
      </c>
      <c r="L45" s="229" t="s">
        <v>3477</v>
      </c>
    </row>
    <row r="46" spans="1:12" ht="48" customHeight="1" x14ac:dyDescent="0.2">
      <c r="A46" s="230" t="s">
        <v>3036</v>
      </c>
      <c r="B46" s="223" t="s">
        <v>1113</v>
      </c>
      <c r="C46" s="224" t="s">
        <v>1114</v>
      </c>
      <c r="D46" s="224" t="s">
        <v>1202</v>
      </c>
      <c r="E46" s="225">
        <v>1</v>
      </c>
      <c r="F46" s="227">
        <v>0.3</v>
      </c>
      <c r="G46" s="228">
        <v>0.7</v>
      </c>
      <c r="H46" s="226">
        <v>0.5</v>
      </c>
      <c r="I46" s="226">
        <v>0.5</v>
      </c>
      <c r="J46" s="224" t="s">
        <v>883</v>
      </c>
      <c r="K46" s="224" t="s">
        <v>3428</v>
      </c>
      <c r="L46" s="229" t="s">
        <v>3478</v>
      </c>
    </row>
    <row r="47" spans="1:12" ht="48" customHeight="1" x14ac:dyDescent="0.2">
      <c r="A47" s="230" t="s">
        <v>3038</v>
      </c>
      <c r="B47" s="223" t="s">
        <v>1115</v>
      </c>
      <c r="C47" s="224" t="s">
        <v>919</v>
      </c>
      <c r="D47" s="224" t="s">
        <v>1202</v>
      </c>
      <c r="E47" s="226">
        <v>0.5</v>
      </c>
      <c r="F47" s="226">
        <v>0.4</v>
      </c>
      <c r="G47" s="226">
        <v>0.6</v>
      </c>
      <c r="H47" s="228">
        <v>0.7</v>
      </c>
      <c r="I47" s="225">
        <v>0.9</v>
      </c>
      <c r="J47" s="224" t="s">
        <v>3432</v>
      </c>
      <c r="K47" s="224" t="s">
        <v>3433</v>
      </c>
      <c r="L47" s="229" t="s">
        <v>3479</v>
      </c>
    </row>
    <row r="48" spans="1:12" ht="48" customHeight="1" x14ac:dyDescent="0.2">
      <c r="A48" s="230" t="s">
        <v>3040</v>
      </c>
      <c r="B48" s="223" t="s">
        <v>1117</v>
      </c>
      <c r="C48" s="224" t="s">
        <v>919</v>
      </c>
      <c r="D48" s="224" t="s">
        <v>1189</v>
      </c>
      <c r="E48" s="226">
        <v>0.5</v>
      </c>
      <c r="F48" s="226">
        <v>0.4</v>
      </c>
      <c r="G48" s="226">
        <v>0.4</v>
      </c>
      <c r="H48" s="226">
        <v>0.6</v>
      </c>
      <c r="I48" s="225">
        <v>0.9</v>
      </c>
      <c r="J48" s="224" t="s">
        <v>3432</v>
      </c>
      <c r="K48" s="224" t="s">
        <v>3433</v>
      </c>
      <c r="L48" s="229" t="s">
        <v>3480</v>
      </c>
    </row>
    <row r="49" spans="1:12" ht="48" customHeight="1" x14ac:dyDescent="0.2">
      <c r="A49" s="230" t="s">
        <v>3043</v>
      </c>
      <c r="B49" s="223" t="s">
        <v>1119</v>
      </c>
      <c r="C49" s="224" t="s">
        <v>919</v>
      </c>
      <c r="D49" s="224" t="s">
        <v>1202</v>
      </c>
      <c r="E49" s="226">
        <v>0.4</v>
      </c>
      <c r="F49" s="226">
        <v>0.5</v>
      </c>
      <c r="G49" s="226">
        <v>0.4</v>
      </c>
      <c r="H49" s="228">
        <v>0.7</v>
      </c>
      <c r="I49" s="225">
        <v>0.9</v>
      </c>
      <c r="J49" s="224" t="s">
        <v>3432</v>
      </c>
      <c r="K49" s="224" t="s">
        <v>3433</v>
      </c>
      <c r="L49" s="229" t="s">
        <v>3481</v>
      </c>
    </row>
    <row r="50" spans="1:12" ht="48" customHeight="1" x14ac:dyDescent="0.2">
      <c r="A50" s="230" t="s">
        <v>3045</v>
      </c>
      <c r="B50" s="223" t="s">
        <v>1120</v>
      </c>
      <c r="C50" s="224" t="s">
        <v>972</v>
      </c>
      <c r="D50" s="224" t="s">
        <v>2373</v>
      </c>
      <c r="E50" s="226">
        <v>0.4</v>
      </c>
      <c r="F50" s="225">
        <v>1</v>
      </c>
      <c r="G50" s="225">
        <v>0.9</v>
      </c>
      <c r="H50" s="226">
        <v>0.6</v>
      </c>
      <c r="I50" s="228">
        <v>0.7</v>
      </c>
      <c r="J50" s="224" t="s">
        <v>1256</v>
      </c>
      <c r="K50" s="224" t="s">
        <v>3449</v>
      </c>
      <c r="L50" s="229" t="s">
        <v>3482</v>
      </c>
    </row>
    <row r="51" spans="1:12" ht="48" customHeight="1" x14ac:dyDescent="0.2">
      <c r="A51" s="230" t="s">
        <v>3047</v>
      </c>
      <c r="B51" s="223" t="s">
        <v>1121</v>
      </c>
      <c r="C51" s="224" t="s">
        <v>1470</v>
      </c>
      <c r="D51" s="224" t="s">
        <v>2373</v>
      </c>
      <c r="E51" s="226">
        <v>0.4</v>
      </c>
      <c r="F51" s="225">
        <v>0.9</v>
      </c>
      <c r="G51" s="225">
        <v>1</v>
      </c>
      <c r="H51" s="226">
        <v>0.6</v>
      </c>
      <c r="I51" s="228">
        <v>0.8</v>
      </c>
      <c r="J51" s="224" t="s">
        <v>1220</v>
      </c>
      <c r="K51" s="224" t="s">
        <v>3435</v>
      </c>
      <c r="L51" s="229" t="s">
        <v>3483</v>
      </c>
    </row>
    <row r="52" spans="1:12" ht="48" customHeight="1" x14ac:dyDescent="0.2">
      <c r="A52" s="230" t="s">
        <v>3049</v>
      </c>
      <c r="B52" s="223" t="s">
        <v>1123</v>
      </c>
      <c r="C52" s="224" t="s">
        <v>972</v>
      </c>
      <c r="D52" s="224" t="s">
        <v>2373</v>
      </c>
      <c r="E52" s="226">
        <v>0.6</v>
      </c>
      <c r="F52" s="225">
        <v>1</v>
      </c>
      <c r="G52" s="225">
        <v>0.9</v>
      </c>
      <c r="H52" s="228">
        <v>0.7</v>
      </c>
      <c r="I52" s="228">
        <v>0.8</v>
      </c>
      <c r="J52" s="224" t="s">
        <v>1256</v>
      </c>
      <c r="K52" s="224" t="s">
        <v>3449</v>
      </c>
      <c r="L52" s="229" t="s">
        <v>3484</v>
      </c>
    </row>
    <row r="53" spans="1:12" ht="48" customHeight="1" x14ac:dyDescent="0.2">
      <c r="A53" s="230" t="s">
        <v>3051</v>
      </c>
      <c r="B53" s="223" t="s">
        <v>1125</v>
      </c>
      <c r="C53" s="224" t="s">
        <v>962</v>
      </c>
      <c r="D53" s="224" t="s">
        <v>1202</v>
      </c>
      <c r="E53" s="226">
        <v>0.5</v>
      </c>
      <c r="F53" s="226">
        <v>0.4</v>
      </c>
      <c r="G53" s="225">
        <v>1</v>
      </c>
      <c r="H53" s="228">
        <v>0.7</v>
      </c>
      <c r="I53" s="226">
        <v>0.5</v>
      </c>
      <c r="J53" s="224" t="s">
        <v>1220</v>
      </c>
      <c r="K53" s="224" t="s">
        <v>3435</v>
      </c>
      <c r="L53" s="229" t="s">
        <v>3485</v>
      </c>
    </row>
    <row r="54" spans="1:12" ht="48" customHeight="1" x14ac:dyDescent="0.2">
      <c r="A54" s="230" t="s">
        <v>3054</v>
      </c>
      <c r="B54" s="223" t="s">
        <v>1126</v>
      </c>
      <c r="C54" s="224" t="s">
        <v>1470</v>
      </c>
      <c r="D54" s="224" t="s">
        <v>1202</v>
      </c>
      <c r="E54" s="226">
        <v>0.5</v>
      </c>
      <c r="F54" s="226">
        <v>0.5</v>
      </c>
      <c r="G54" s="225">
        <v>1</v>
      </c>
      <c r="H54" s="228">
        <v>0.7</v>
      </c>
      <c r="I54" s="226">
        <v>0.5</v>
      </c>
      <c r="J54" s="224" t="s">
        <v>1220</v>
      </c>
      <c r="K54" s="224" t="s">
        <v>3435</v>
      </c>
      <c r="L54" s="229" t="s">
        <v>3486</v>
      </c>
    </row>
    <row r="55" spans="1:12" ht="48" customHeight="1" x14ac:dyDescent="0.2">
      <c r="A55" s="230" t="s">
        <v>3057</v>
      </c>
      <c r="B55" s="223" t="s">
        <v>1127</v>
      </c>
      <c r="C55" s="224" t="s">
        <v>984</v>
      </c>
      <c r="D55" s="224" t="s">
        <v>1202</v>
      </c>
      <c r="E55" s="226">
        <v>0.6</v>
      </c>
      <c r="F55" s="226">
        <v>0.4</v>
      </c>
      <c r="G55" s="225">
        <v>0.9</v>
      </c>
      <c r="H55" s="226">
        <v>0.5</v>
      </c>
      <c r="I55" s="226">
        <v>0.5</v>
      </c>
      <c r="J55" s="224" t="s">
        <v>1220</v>
      </c>
      <c r="K55" s="224" t="s">
        <v>3435</v>
      </c>
      <c r="L55" s="229" t="s">
        <v>3487</v>
      </c>
    </row>
    <row r="56" spans="1:12" ht="48" customHeight="1" x14ac:dyDescent="0.2">
      <c r="A56" s="230" t="s">
        <v>3059</v>
      </c>
      <c r="B56" s="223" t="s">
        <v>1129</v>
      </c>
      <c r="C56" s="224" t="s">
        <v>941</v>
      </c>
      <c r="D56" s="224" t="s">
        <v>2687</v>
      </c>
      <c r="E56" s="226">
        <v>0.6</v>
      </c>
      <c r="F56" s="226">
        <v>0.4</v>
      </c>
      <c r="G56" s="228">
        <v>0.8</v>
      </c>
      <c r="H56" s="226">
        <v>0.5</v>
      </c>
      <c r="I56" s="228">
        <v>0.8</v>
      </c>
      <c r="J56" s="224" t="s">
        <v>1220</v>
      </c>
      <c r="K56" s="224" t="s">
        <v>3488</v>
      </c>
      <c r="L56" s="229" t="s">
        <v>3489</v>
      </c>
    </row>
    <row r="57" spans="1:12" ht="48" customHeight="1" x14ac:dyDescent="0.2">
      <c r="A57" s="230" t="s">
        <v>3061</v>
      </c>
      <c r="B57" s="223" t="s">
        <v>1131</v>
      </c>
      <c r="C57" s="224" t="s">
        <v>901</v>
      </c>
      <c r="D57" s="224" t="s">
        <v>1189</v>
      </c>
      <c r="E57" s="226">
        <v>0.5</v>
      </c>
      <c r="F57" s="226">
        <v>0.4</v>
      </c>
      <c r="G57" s="226">
        <v>0.5</v>
      </c>
      <c r="H57" s="226">
        <v>0.6</v>
      </c>
      <c r="I57" s="225">
        <v>0.9</v>
      </c>
      <c r="J57" s="224" t="s">
        <v>3432</v>
      </c>
      <c r="K57" s="224" t="s">
        <v>3433</v>
      </c>
      <c r="L57" s="229" t="s">
        <v>3490</v>
      </c>
    </row>
    <row r="58" spans="1:12" ht="48" customHeight="1" x14ac:dyDescent="0.2">
      <c r="A58" s="230" t="s">
        <v>3063</v>
      </c>
      <c r="B58" s="223" t="s">
        <v>1133</v>
      </c>
      <c r="C58" s="224" t="s">
        <v>1091</v>
      </c>
      <c r="D58" s="224" t="s">
        <v>2388</v>
      </c>
      <c r="E58" s="226">
        <v>0.4</v>
      </c>
      <c r="F58" s="228">
        <v>0.8</v>
      </c>
      <c r="G58" s="226">
        <v>0.6</v>
      </c>
      <c r="H58" s="228">
        <v>0.7</v>
      </c>
      <c r="I58" s="225">
        <v>1</v>
      </c>
      <c r="J58" s="224" t="s">
        <v>3432</v>
      </c>
      <c r="K58" s="224" t="s">
        <v>3433</v>
      </c>
      <c r="L58" s="229" t="s">
        <v>3491</v>
      </c>
    </row>
    <row r="59" spans="1:12" ht="48" customHeight="1" x14ac:dyDescent="0.2">
      <c r="A59" s="230" t="s">
        <v>3065</v>
      </c>
      <c r="B59" s="223" t="s">
        <v>1134</v>
      </c>
      <c r="C59" s="224" t="s">
        <v>1091</v>
      </c>
      <c r="D59" s="224" t="s">
        <v>2388</v>
      </c>
      <c r="E59" s="227">
        <v>0.3</v>
      </c>
      <c r="F59" s="225">
        <v>1</v>
      </c>
      <c r="G59" s="226">
        <v>0.6</v>
      </c>
      <c r="H59" s="226">
        <v>0.6</v>
      </c>
      <c r="I59" s="225">
        <v>1</v>
      </c>
      <c r="J59" s="224" t="s">
        <v>1256</v>
      </c>
      <c r="K59" s="224" t="s">
        <v>3473</v>
      </c>
      <c r="L59" s="229" t="s">
        <v>3492</v>
      </c>
    </row>
    <row r="60" spans="1:12" ht="48" customHeight="1" x14ac:dyDescent="0.2">
      <c r="A60" s="230" t="s">
        <v>3067</v>
      </c>
      <c r="B60" s="223" t="s">
        <v>1136</v>
      </c>
      <c r="C60" s="224" t="s">
        <v>1091</v>
      </c>
      <c r="D60" s="224" t="s">
        <v>2388</v>
      </c>
      <c r="E60" s="226">
        <v>0.4</v>
      </c>
      <c r="F60" s="225">
        <v>1</v>
      </c>
      <c r="G60" s="228">
        <v>0.7</v>
      </c>
      <c r="H60" s="226">
        <v>0.6</v>
      </c>
      <c r="I60" s="225">
        <v>0.9</v>
      </c>
      <c r="J60" s="224" t="s">
        <v>1256</v>
      </c>
      <c r="K60" s="224" t="s">
        <v>3449</v>
      </c>
      <c r="L60" s="229" t="s">
        <v>3493</v>
      </c>
    </row>
    <row r="61" spans="1:12" ht="48" customHeight="1" x14ac:dyDescent="0.2">
      <c r="A61" s="230" t="s">
        <v>3069</v>
      </c>
      <c r="B61" s="223" t="s">
        <v>1137</v>
      </c>
      <c r="C61" s="224" t="s">
        <v>882</v>
      </c>
      <c r="D61" s="224" t="s">
        <v>2687</v>
      </c>
      <c r="E61" s="226">
        <v>0.5</v>
      </c>
      <c r="F61" s="226">
        <v>0.6</v>
      </c>
      <c r="G61" s="226">
        <v>0.4</v>
      </c>
      <c r="H61" s="228">
        <v>0.8</v>
      </c>
      <c r="I61" s="225">
        <v>0.9</v>
      </c>
      <c r="J61" s="224" t="s">
        <v>3432</v>
      </c>
      <c r="K61" s="224" t="s">
        <v>3433</v>
      </c>
      <c r="L61" s="229" t="s">
        <v>3494</v>
      </c>
    </row>
    <row r="62" spans="1:12" ht="48" customHeight="1" x14ac:dyDescent="0.2">
      <c r="A62" s="230" t="s">
        <v>3072</v>
      </c>
      <c r="B62" s="223" t="s">
        <v>1139</v>
      </c>
      <c r="C62" s="224" t="s">
        <v>972</v>
      </c>
      <c r="D62" s="224" t="s">
        <v>2373</v>
      </c>
      <c r="E62" s="227">
        <v>0.3</v>
      </c>
      <c r="F62" s="225">
        <v>0.9</v>
      </c>
      <c r="G62" s="225">
        <v>0.9</v>
      </c>
      <c r="H62" s="225">
        <v>0.9</v>
      </c>
      <c r="I62" s="228">
        <v>0.8</v>
      </c>
      <c r="J62" s="224" t="s">
        <v>1256</v>
      </c>
      <c r="K62" s="224" t="s">
        <v>3464</v>
      </c>
      <c r="L62" s="229" t="s">
        <v>3495</v>
      </c>
    </row>
    <row r="63" spans="1:12" ht="48" customHeight="1" x14ac:dyDescent="0.2">
      <c r="A63" s="230" t="s">
        <v>3074</v>
      </c>
      <c r="B63" s="223" t="s">
        <v>1140</v>
      </c>
      <c r="C63" s="224" t="s">
        <v>1016</v>
      </c>
      <c r="D63" s="224" t="s">
        <v>2373</v>
      </c>
      <c r="E63" s="226">
        <v>0.4</v>
      </c>
      <c r="F63" s="225">
        <v>1</v>
      </c>
      <c r="G63" s="226">
        <v>0.4</v>
      </c>
      <c r="H63" s="228">
        <v>0.7</v>
      </c>
      <c r="I63" s="225">
        <v>1</v>
      </c>
      <c r="J63" s="224" t="s">
        <v>1256</v>
      </c>
      <c r="K63" s="224" t="s">
        <v>3473</v>
      </c>
      <c r="L63" s="229" t="s">
        <v>3496</v>
      </c>
    </row>
    <row r="64" spans="1:12" ht="48" customHeight="1" x14ac:dyDescent="0.2">
      <c r="A64" s="230" t="s">
        <v>3076</v>
      </c>
      <c r="B64" s="223" t="s">
        <v>1142</v>
      </c>
      <c r="C64" s="224" t="s">
        <v>984</v>
      </c>
      <c r="D64" s="224" t="s">
        <v>1202</v>
      </c>
      <c r="E64" s="226">
        <v>0.6</v>
      </c>
      <c r="F64" s="226">
        <v>0.5</v>
      </c>
      <c r="G64" s="225">
        <v>1</v>
      </c>
      <c r="H64" s="226">
        <v>0.6</v>
      </c>
      <c r="I64" s="226">
        <v>0.6</v>
      </c>
      <c r="J64" s="224" t="s">
        <v>1220</v>
      </c>
      <c r="K64" s="224" t="s">
        <v>3435</v>
      </c>
      <c r="L64" s="229" t="s">
        <v>3497</v>
      </c>
    </row>
    <row r="65" spans="1:12" ht="48" customHeight="1" x14ac:dyDescent="0.2">
      <c r="A65" s="230" t="s">
        <v>3078</v>
      </c>
      <c r="B65" s="223" t="s">
        <v>1144</v>
      </c>
      <c r="C65" s="224" t="s">
        <v>901</v>
      </c>
      <c r="D65" s="224" t="s">
        <v>1189</v>
      </c>
      <c r="E65" s="227">
        <v>0.2</v>
      </c>
      <c r="F65" s="225">
        <v>1</v>
      </c>
      <c r="G65" s="227">
        <v>0.3</v>
      </c>
      <c r="H65" s="226">
        <v>0.5</v>
      </c>
      <c r="I65" s="225">
        <v>1</v>
      </c>
      <c r="J65" s="224" t="s">
        <v>1256</v>
      </c>
      <c r="K65" s="224" t="s">
        <v>3473</v>
      </c>
      <c r="L65" s="229" t="s">
        <v>3498</v>
      </c>
    </row>
    <row r="67" spans="1:12" x14ac:dyDescent="0.2">
      <c r="A67" s="231"/>
      <c r="B67" s="232" t="s">
        <v>3499</v>
      </c>
      <c r="C67" s="231"/>
      <c r="D67" s="231"/>
      <c r="E67" s="233">
        <f>AVERAGE(E6:E65)</f>
        <v>0.5149999999999999</v>
      </c>
      <c r="F67" s="233">
        <f>AVERAGE(F6:F65)</f>
        <v>0.63166666666666638</v>
      </c>
      <c r="G67" s="233">
        <f>AVERAGE(G6:G65)</f>
        <v>0.71166666666666634</v>
      </c>
      <c r="H67" s="233">
        <f>AVERAGE(H6:H65)</f>
        <v>0.67666666666666697</v>
      </c>
      <c r="I67" s="233">
        <f>AVERAGE(I6:I65)</f>
        <v>0.67499999999999971</v>
      </c>
      <c r="J67" s="231"/>
      <c r="K67" s="231"/>
      <c r="L67" s="231"/>
    </row>
    <row r="68" spans="1:12" x14ac:dyDescent="0.2">
      <c r="A68" s="234"/>
      <c r="B68" s="235" t="s">
        <v>3500</v>
      </c>
      <c r="C68" s="234"/>
      <c r="D68" s="234"/>
      <c r="E68" s="236">
        <f>SUM(E6:E65)</f>
        <v>30.899999999999995</v>
      </c>
      <c r="F68" s="236">
        <f>SUM(F6:F65)</f>
        <v>37.899999999999984</v>
      </c>
      <c r="G68" s="236">
        <f>SUM(G6:G65)</f>
        <v>42.699999999999982</v>
      </c>
      <c r="H68" s="236">
        <f>SUM(H6:H65)</f>
        <v>40.600000000000016</v>
      </c>
      <c r="I68" s="236">
        <f>SUM(I6:I65)</f>
        <v>40.499999999999986</v>
      </c>
      <c r="J68" s="234"/>
      <c r="K68" s="234"/>
      <c r="L68" s="234"/>
    </row>
    <row r="70" spans="1:12" x14ac:dyDescent="0.2">
      <c r="A70" s="502" t="s">
        <v>3501</v>
      </c>
      <c r="B70" s="416"/>
      <c r="C70" s="416"/>
      <c r="D70" s="416"/>
      <c r="E70" s="416"/>
      <c r="F70" s="416"/>
      <c r="G70" s="416"/>
      <c r="H70" s="416"/>
      <c r="I70" s="416"/>
      <c r="J70" s="416"/>
      <c r="K70" s="416"/>
      <c r="L70" s="416"/>
    </row>
    <row r="71" spans="1:12" ht="20.100000000000001" customHeight="1" x14ac:dyDescent="0.2">
      <c r="A71" s="237" t="s">
        <v>3502</v>
      </c>
      <c r="B71" s="238" t="s">
        <v>3503</v>
      </c>
      <c r="C71" s="239" t="s">
        <v>3504</v>
      </c>
      <c r="D71" s="238" t="s">
        <v>3505</v>
      </c>
      <c r="E71" s="240" t="s">
        <v>3506</v>
      </c>
      <c r="F71" s="238" t="s">
        <v>3507</v>
      </c>
      <c r="G71" s="241" t="s">
        <v>3508</v>
      </c>
      <c r="H71" s="238" t="s">
        <v>3509</v>
      </c>
      <c r="I71" s="242" t="s">
        <v>3510</v>
      </c>
      <c r="J71" s="238" t="s">
        <v>3511</v>
      </c>
    </row>
    <row r="73" spans="1:12" x14ac:dyDescent="0.2">
      <c r="A73" s="500" t="s">
        <v>3512</v>
      </c>
      <c r="B73" s="416"/>
      <c r="C73" s="416"/>
      <c r="D73" s="416"/>
      <c r="E73" s="416"/>
      <c r="F73" s="416"/>
      <c r="G73" s="416"/>
      <c r="H73" s="416"/>
      <c r="I73" s="416"/>
      <c r="J73" s="416"/>
      <c r="K73" s="416"/>
      <c r="L73" s="416"/>
    </row>
    <row r="74" spans="1:12" x14ac:dyDescent="0.2">
      <c r="A74" s="416"/>
      <c r="B74" s="416"/>
      <c r="C74" s="416"/>
      <c r="D74" s="416"/>
      <c r="E74" s="416"/>
      <c r="F74" s="416"/>
      <c r="G74" s="416"/>
      <c r="H74" s="416"/>
      <c r="I74" s="416"/>
      <c r="J74" s="416"/>
      <c r="K74" s="416"/>
      <c r="L74" s="416"/>
    </row>
    <row r="77" spans="1:12" x14ac:dyDescent="0.2">
      <c r="B77" s="257" t="s">
        <v>853</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9A227"/>
  </sheetPr>
  <dimension ref="A1:G131"/>
  <sheetViews>
    <sheetView showGridLines="0" workbookViewId="0">
      <pane ySplit="1" topLeftCell="A2" activePane="bottomLeft" state="frozen"/>
      <selection pane="bottomLeft"/>
    </sheetView>
  </sheetViews>
  <sheetFormatPr defaultRowHeight="15" x14ac:dyDescent="0.2"/>
  <cols>
    <col min="1" max="1" width="25.9609375" style="396" customWidth="1"/>
    <col min="2" max="2" width="39.953125" style="396" customWidth="1"/>
    <col min="3" max="3" width="37.93359375" style="396" customWidth="1"/>
    <col min="4" max="4" width="41.96875" style="396" customWidth="1"/>
    <col min="5" max="5" width="34.03125" style="396" customWidth="1"/>
    <col min="6" max="6" width="59.99609375" style="396" customWidth="1"/>
    <col min="7" max="7" width="13.98828125" style="396" customWidth="1"/>
  </cols>
  <sheetData>
    <row r="1" spans="1:7" ht="33.950000000000003" customHeight="1" x14ac:dyDescent="0.2">
      <c r="A1" s="511" t="s">
        <v>3513</v>
      </c>
      <c r="B1" s="512"/>
      <c r="C1" s="512"/>
      <c r="D1" s="512"/>
      <c r="E1" s="512"/>
      <c r="F1" s="512"/>
      <c r="G1" s="512"/>
    </row>
    <row r="2" spans="1:7" ht="18" customHeight="1" x14ac:dyDescent="0.2">
      <c r="A2" s="513" t="s">
        <v>3514</v>
      </c>
      <c r="B2" s="416"/>
      <c r="C2" s="416"/>
      <c r="D2" s="416"/>
      <c r="E2" s="416"/>
      <c r="F2" s="416"/>
      <c r="G2" s="416"/>
    </row>
    <row r="3" spans="1:7" x14ac:dyDescent="0.2">
      <c r="A3" s="243"/>
      <c r="B3" s="243"/>
      <c r="C3" s="243"/>
      <c r="D3" s="243"/>
      <c r="E3" s="243"/>
      <c r="F3" s="243"/>
      <c r="G3" s="243"/>
    </row>
    <row r="4" spans="1:7" ht="26.1" customHeight="1" x14ac:dyDescent="0.2">
      <c r="A4" s="505" t="s">
        <v>3515</v>
      </c>
      <c r="B4" s="506"/>
      <c r="C4" s="506"/>
      <c r="D4" s="506"/>
      <c r="E4" s="506"/>
      <c r="F4" s="506"/>
      <c r="G4" s="506"/>
    </row>
    <row r="5" spans="1:7" ht="24" customHeight="1" x14ac:dyDescent="0.2">
      <c r="A5" s="244" t="s">
        <v>3516</v>
      </c>
      <c r="B5" s="244" t="s">
        <v>3517</v>
      </c>
      <c r="C5" s="244" t="s">
        <v>3518</v>
      </c>
      <c r="D5" s="244" t="s">
        <v>3519</v>
      </c>
      <c r="E5" s="244" t="s">
        <v>3520</v>
      </c>
      <c r="F5" s="244" t="s">
        <v>3521</v>
      </c>
      <c r="G5" s="244"/>
    </row>
    <row r="6" spans="1:7" ht="75" customHeight="1" x14ac:dyDescent="0.2">
      <c r="A6" s="245" t="s">
        <v>3522</v>
      </c>
      <c r="B6" s="245" t="s">
        <v>3523</v>
      </c>
      <c r="C6" s="245" t="s">
        <v>3524</v>
      </c>
      <c r="D6" s="245" t="s">
        <v>3525</v>
      </c>
      <c r="E6" s="245" t="s">
        <v>3526</v>
      </c>
      <c r="F6" s="245" t="s">
        <v>3527</v>
      </c>
      <c r="G6" s="245"/>
    </row>
    <row r="7" spans="1:7" ht="75" customHeight="1" x14ac:dyDescent="0.2">
      <c r="A7" s="245" t="s">
        <v>3528</v>
      </c>
      <c r="B7" s="245" t="s">
        <v>3529</v>
      </c>
      <c r="C7" s="245" t="s">
        <v>3530</v>
      </c>
      <c r="D7" s="245" t="s">
        <v>3531</v>
      </c>
      <c r="E7" s="245" t="s">
        <v>3532</v>
      </c>
      <c r="F7" s="245" t="s">
        <v>3533</v>
      </c>
      <c r="G7" s="245"/>
    </row>
    <row r="8" spans="1:7" ht="95.1" customHeight="1" x14ac:dyDescent="0.2">
      <c r="A8" s="245" t="s">
        <v>3534</v>
      </c>
      <c r="B8" s="245" t="s">
        <v>3535</v>
      </c>
      <c r="C8" s="245" t="s">
        <v>3536</v>
      </c>
      <c r="D8" s="245" t="s">
        <v>3537</v>
      </c>
      <c r="E8" s="245" t="s">
        <v>3538</v>
      </c>
      <c r="F8" s="245" t="s">
        <v>3539</v>
      </c>
      <c r="G8" s="245"/>
    </row>
    <row r="9" spans="1:7" x14ac:dyDescent="0.2">
      <c r="A9" s="243"/>
      <c r="B9" s="243"/>
      <c r="C9" s="243"/>
      <c r="D9" s="243"/>
      <c r="E9" s="243"/>
      <c r="F9" s="243"/>
      <c r="G9" s="243"/>
    </row>
    <row r="10" spans="1:7" ht="26.1" customHeight="1" x14ac:dyDescent="0.2">
      <c r="A10" s="505" t="s">
        <v>3540</v>
      </c>
      <c r="B10" s="506"/>
      <c r="C10" s="506"/>
      <c r="D10" s="506"/>
      <c r="E10" s="506"/>
      <c r="F10" s="506"/>
      <c r="G10" s="506"/>
    </row>
    <row r="11" spans="1:7" ht="21.95" customHeight="1" x14ac:dyDescent="0.2">
      <c r="A11" s="510" t="s">
        <v>3541</v>
      </c>
      <c r="B11" s="416"/>
      <c r="C11" s="416"/>
      <c r="D11" s="416"/>
      <c r="E11" s="416"/>
      <c r="F11" s="416"/>
      <c r="G11" s="416"/>
    </row>
    <row r="12" spans="1:7" ht="24" customHeight="1" x14ac:dyDescent="0.2">
      <c r="A12" s="244" t="s">
        <v>1874</v>
      </c>
      <c r="B12" s="244" t="s">
        <v>1435</v>
      </c>
      <c r="C12" s="244" t="s">
        <v>1881</v>
      </c>
      <c r="D12" s="244" t="s">
        <v>1149</v>
      </c>
      <c r="E12" s="244"/>
      <c r="F12" s="244"/>
      <c r="G12" s="244"/>
    </row>
    <row r="13" spans="1:7" ht="20.100000000000001" customHeight="1" x14ac:dyDescent="0.2">
      <c r="A13" s="245" t="s">
        <v>3373</v>
      </c>
      <c r="B13" s="245" t="s">
        <v>3542</v>
      </c>
      <c r="C13" s="245" t="s">
        <v>3543</v>
      </c>
      <c r="D13" s="245" t="s">
        <v>3544</v>
      </c>
      <c r="E13" s="245"/>
      <c r="F13" s="245"/>
      <c r="G13" s="245"/>
    </row>
    <row r="14" spans="1:7" ht="20.100000000000001" customHeight="1" x14ac:dyDescent="0.2">
      <c r="A14" s="245" t="s">
        <v>3361</v>
      </c>
      <c r="B14" s="245" t="s">
        <v>3545</v>
      </c>
      <c r="C14" s="245" t="s">
        <v>3546</v>
      </c>
      <c r="D14" s="245" t="s">
        <v>3547</v>
      </c>
      <c r="E14" s="245"/>
      <c r="F14" s="245"/>
      <c r="G14" s="245"/>
    </row>
    <row r="15" spans="1:7" ht="20.100000000000001" customHeight="1" x14ac:dyDescent="0.2">
      <c r="A15" s="245" t="s">
        <v>3369</v>
      </c>
      <c r="B15" s="245" t="s">
        <v>3548</v>
      </c>
      <c r="C15" s="245" t="s">
        <v>3549</v>
      </c>
      <c r="D15" s="245" t="s">
        <v>3550</v>
      </c>
      <c r="E15" s="245"/>
      <c r="F15" s="245"/>
      <c r="G15" s="245"/>
    </row>
    <row r="16" spans="1:7" ht="20.100000000000001" customHeight="1" x14ac:dyDescent="0.2">
      <c r="A16" s="245" t="s">
        <v>3365</v>
      </c>
      <c r="B16" s="245" t="s">
        <v>1402</v>
      </c>
      <c r="C16" s="245" t="s">
        <v>3551</v>
      </c>
      <c r="D16" s="245" t="s">
        <v>3552</v>
      </c>
      <c r="E16" s="245"/>
      <c r="F16" s="245"/>
      <c r="G16" s="245"/>
    </row>
    <row r="17" spans="1:7" ht="20.100000000000001" customHeight="1" x14ac:dyDescent="0.2">
      <c r="A17" s="504" t="s">
        <v>3553</v>
      </c>
      <c r="B17" s="416"/>
      <c r="C17" s="416"/>
      <c r="D17" s="416"/>
      <c r="E17" s="416"/>
      <c r="F17" s="416"/>
      <c r="G17" s="416"/>
    </row>
    <row r="18" spans="1:7" ht="18" customHeight="1" x14ac:dyDescent="0.2">
      <c r="A18" s="507" t="s">
        <v>3554</v>
      </c>
      <c r="B18" s="416"/>
      <c r="C18" s="416"/>
      <c r="D18" s="416"/>
      <c r="E18" s="416"/>
      <c r="F18" s="416"/>
      <c r="G18" s="416"/>
    </row>
    <row r="19" spans="1:7" ht="18" customHeight="1" x14ac:dyDescent="0.2">
      <c r="A19" s="507" t="s">
        <v>3555</v>
      </c>
      <c r="B19" s="416"/>
      <c r="C19" s="416"/>
      <c r="D19" s="416"/>
      <c r="E19" s="416"/>
      <c r="F19" s="416"/>
      <c r="G19" s="416"/>
    </row>
    <row r="20" spans="1:7" ht="18" customHeight="1" x14ac:dyDescent="0.2">
      <c r="A20" s="507" t="s">
        <v>3556</v>
      </c>
      <c r="B20" s="416"/>
      <c r="C20" s="416"/>
      <c r="D20" s="416"/>
      <c r="E20" s="416"/>
      <c r="F20" s="416"/>
      <c r="G20" s="416"/>
    </row>
    <row r="21" spans="1:7" ht="20.100000000000001" customHeight="1" x14ac:dyDescent="0.2">
      <c r="A21" s="508" t="s">
        <v>3557</v>
      </c>
      <c r="B21" s="416"/>
      <c r="C21" s="416"/>
      <c r="D21" s="416"/>
      <c r="E21" s="416"/>
      <c r="F21" s="416"/>
      <c r="G21" s="416"/>
    </row>
    <row r="22" spans="1:7" x14ac:dyDescent="0.2">
      <c r="A22" s="243"/>
      <c r="B22" s="243"/>
      <c r="C22" s="243"/>
      <c r="D22" s="243"/>
      <c r="E22" s="243"/>
      <c r="F22" s="243"/>
      <c r="G22" s="243"/>
    </row>
    <row r="23" spans="1:7" ht="26.1" customHeight="1" x14ac:dyDescent="0.2">
      <c r="A23" s="505" t="s">
        <v>3558</v>
      </c>
      <c r="B23" s="506"/>
      <c r="C23" s="506"/>
      <c r="D23" s="506"/>
      <c r="E23" s="506"/>
      <c r="F23" s="506"/>
      <c r="G23" s="506"/>
    </row>
    <row r="24" spans="1:7" ht="24" customHeight="1" x14ac:dyDescent="0.2">
      <c r="A24" s="244" t="s">
        <v>1795</v>
      </c>
      <c r="B24" s="244" t="s">
        <v>3559</v>
      </c>
      <c r="C24" s="244" t="s">
        <v>3378</v>
      </c>
      <c r="D24" s="244" t="s">
        <v>3361</v>
      </c>
      <c r="E24" s="244" t="s">
        <v>3369</v>
      </c>
      <c r="F24" s="244" t="s">
        <v>3365</v>
      </c>
      <c r="G24" s="244" t="s">
        <v>254</v>
      </c>
    </row>
    <row r="25" spans="1:7" ht="20.100000000000001" customHeight="1" x14ac:dyDescent="0.2">
      <c r="A25" s="246" t="s">
        <v>2895</v>
      </c>
      <c r="B25" s="245" t="s">
        <v>3560</v>
      </c>
      <c r="C25" s="246" t="s">
        <v>3396</v>
      </c>
      <c r="D25" s="246" t="s">
        <v>3561</v>
      </c>
      <c r="E25" s="246" t="s">
        <v>3562</v>
      </c>
      <c r="F25" s="246" t="s">
        <v>3562</v>
      </c>
      <c r="G25" s="245" t="s">
        <v>3563</v>
      </c>
    </row>
    <row r="26" spans="1:7" ht="20.100000000000001" customHeight="1" x14ac:dyDescent="0.2">
      <c r="A26" s="246" t="s">
        <v>2891</v>
      </c>
      <c r="B26" s="245" t="s">
        <v>3564</v>
      </c>
      <c r="C26" s="246" t="s">
        <v>3565</v>
      </c>
      <c r="D26" s="246" t="s">
        <v>3562</v>
      </c>
      <c r="E26" s="246" t="s">
        <v>3562</v>
      </c>
      <c r="F26" s="246" t="s">
        <v>3562</v>
      </c>
      <c r="G26" s="245" t="s">
        <v>3566</v>
      </c>
    </row>
    <row r="27" spans="1:7" ht="20.100000000000001" customHeight="1" x14ac:dyDescent="0.2">
      <c r="A27" s="246" t="s">
        <v>2887</v>
      </c>
      <c r="B27" s="245" t="s">
        <v>3390</v>
      </c>
      <c r="C27" s="246" t="s">
        <v>3567</v>
      </c>
      <c r="D27" s="246" t="s">
        <v>3568</v>
      </c>
      <c r="E27" s="246" t="s">
        <v>3569</v>
      </c>
      <c r="F27" s="246" t="s">
        <v>3569</v>
      </c>
      <c r="G27" s="245" t="s">
        <v>3570</v>
      </c>
    </row>
    <row r="28" spans="1:7" ht="20.100000000000001" customHeight="1" x14ac:dyDescent="0.2">
      <c r="A28" s="246" t="s">
        <v>2093</v>
      </c>
      <c r="B28" s="245" t="s">
        <v>3571</v>
      </c>
      <c r="C28" s="246" t="s">
        <v>3562</v>
      </c>
      <c r="D28" s="246" t="s">
        <v>3562</v>
      </c>
      <c r="E28" s="246" t="s">
        <v>3572</v>
      </c>
      <c r="F28" s="246" t="s">
        <v>3572</v>
      </c>
      <c r="G28" s="245" t="s">
        <v>3573</v>
      </c>
    </row>
    <row r="29" spans="1:7" ht="20.100000000000001" customHeight="1" x14ac:dyDescent="0.2">
      <c r="A29" s="246" t="s">
        <v>2088</v>
      </c>
      <c r="B29" s="245" t="s">
        <v>3386</v>
      </c>
      <c r="C29" s="246" t="s">
        <v>3574</v>
      </c>
      <c r="D29" s="246" t="s">
        <v>3575</v>
      </c>
      <c r="E29" s="246" t="s">
        <v>3576</v>
      </c>
      <c r="F29" s="246" t="s">
        <v>3576</v>
      </c>
      <c r="G29" s="245" t="s">
        <v>3387</v>
      </c>
    </row>
    <row r="30" spans="1:7" ht="20.100000000000001" customHeight="1" x14ac:dyDescent="0.2">
      <c r="A30" s="246" t="s">
        <v>2079</v>
      </c>
      <c r="B30" s="245" t="s">
        <v>3384</v>
      </c>
      <c r="C30" s="246" t="s">
        <v>3574</v>
      </c>
      <c r="D30" s="246" t="s">
        <v>3575</v>
      </c>
      <c r="E30" s="246" t="s">
        <v>3576</v>
      </c>
      <c r="F30" s="246" t="s">
        <v>3576</v>
      </c>
      <c r="G30" s="245" t="s">
        <v>3577</v>
      </c>
    </row>
    <row r="31" spans="1:7" ht="20.100000000000001" customHeight="1" x14ac:dyDescent="0.2">
      <c r="A31" s="246" t="s">
        <v>467</v>
      </c>
      <c r="B31" s="245" t="s">
        <v>3382</v>
      </c>
      <c r="C31" s="246" t="s">
        <v>3576</v>
      </c>
      <c r="D31" s="246" t="s">
        <v>3578</v>
      </c>
      <c r="E31" s="246" t="s">
        <v>3572</v>
      </c>
      <c r="F31" s="246" t="s">
        <v>3572</v>
      </c>
      <c r="G31" s="245" t="s">
        <v>3383</v>
      </c>
    </row>
    <row r="32" spans="1:7" ht="20.100000000000001" customHeight="1" x14ac:dyDescent="0.2">
      <c r="A32" s="246" t="s">
        <v>2066</v>
      </c>
      <c r="B32" s="245" t="s">
        <v>3579</v>
      </c>
      <c r="C32" s="246" t="s">
        <v>3576</v>
      </c>
      <c r="D32" s="246" t="s">
        <v>3578</v>
      </c>
      <c r="E32" s="246" t="s">
        <v>3572</v>
      </c>
      <c r="F32" s="246" t="s">
        <v>3572</v>
      </c>
      <c r="G32" s="245" t="s">
        <v>3381</v>
      </c>
    </row>
    <row r="33" spans="1:7" x14ac:dyDescent="0.2">
      <c r="A33" s="243"/>
      <c r="B33" s="243"/>
      <c r="C33" s="243"/>
      <c r="D33" s="243"/>
      <c r="E33" s="243"/>
      <c r="F33" s="243"/>
      <c r="G33" s="243"/>
    </row>
    <row r="34" spans="1:7" ht="26.1" customHeight="1" x14ac:dyDescent="0.2">
      <c r="A34" s="505" t="s">
        <v>3580</v>
      </c>
      <c r="B34" s="506"/>
      <c r="C34" s="506"/>
      <c r="D34" s="506"/>
      <c r="E34" s="506"/>
      <c r="F34" s="506"/>
      <c r="G34" s="506"/>
    </row>
    <row r="35" spans="1:7" ht="24" customHeight="1" x14ac:dyDescent="0.2">
      <c r="A35" s="244" t="s">
        <v>3581</v>
      </c>
      <c r="B35" s="244" t="s">
        <v>3559</v>
      </c>
      <c r="C35" s="244" t="s">
        <v>2563</v>
      </c>
      <c r="D35" s="244" t="s">
        <v>1264</v>
      </c>
      <c r="E35" s="244"/>
      <c r="F35" s="244"/>
      <c r="G35" s="244"/>
    </row>
    <row r="36" spans="1:7" ht="24" customHeight="1" x14ac:dyDescent="0.2">
      <c r="A36" s="245" t="s">
        <v>3582</v>
      </c>
      <c r="B36" s="245" t="s">
        <v>3583</v>
      </c>
      <c r="C36" s="245" t="s">
        <v>3584</v>
      </c>
      <c r="D36" s="245" t="s">
        <v>3585</v>
      </c>
      <c r="E36" s="245"/>
      <c r="F36" s="245"/>
      <c r="G36" s="245"/>
    </row>
    <row r="37" spans="1:7" ht="24" customHeight="1" x14ac:dyDescent="0.2">
      <c r="A37" s="245" t="s">
        <v>3586</v>
      </c>
      <c r="B37" s="245" t="s">
        <v>3587</v>
      </c>
      <c r="C37" s="245" t="s">
        <v>3588</v>
      </c>
      <c r="D37" s="245" t="s">
        <v>3589</v>
      </c>
      <c r="E37" s="245"/>
      <c r="F37" s="245"/>
      <c r="G37" s="245"/>
    </row>
    <row r="38" spans="1:7" ht="24" customHeight="1" x14ac:dyDescent="0.2">
      <c r="A38" s="245" t="s">
        <v>3590</v>
      </c>
      <c r="B38" s="245" t="s">
        <v>3591</v>
      </c>
      <c r="C38" s="245" t="s">
        <v>3592</v>
      </c>
      <c r="D38" s="245" t="s">
        <v>3593</v>
      </c>
      <c r="E38" s="245"/>
      <c r="F38" s="245"/>
      <c r="G38" s="245"/>
    </row>
    <row r="39" spans="1:7" ht="20.100000000000001" customHeight="1" x14ac:dyDescent="0.2">
      <c r="A39" s="504" t="s">
        <v>3594</v>
      </c>
      <c r="B39" s="416"/>
      <c r="C39" s="416"/>
      <c r="D39" s="416"/>
      <c r="E39" s="416"/>
      <c r="F39" s="416"/>
      <c r="G39" s="416"/>
    </row>
    <row r="40" spans="1:7" ht="18" customHeight="1" x14ac:dyDescent="0.2">
      <c r="A40" s="507" t="s">
        <v>3595</v>
      </c>
      <c r="B40" s="416"/>
      <c r="C40" s="416"/>
      <c r="D40" s="416"/>
      <c r="E40" s="416"/>
      <c r="F40" s="416"/>
      <c r="G40" s="416"/>
    </row>
    <row r="41" spans="1:7" ht="18" customHeight="1" x14ac:dyDescent="0.2">
      <c r="A41" s="507" t="s">
        <v>3596</v>
      </c>
      <c r="B41" s="416"/>
      <c r="C41" s="416"/>
      <c r="D41" s="416"/>
      <c r="E41" s="416"/>
      <c r="F41" s="416"/>
      <c r="G41" s="416"/>
    </row>
    <row r="42" spans="1:7" ht="20.100000000000001" customHeight="1" x14ac:dyDescent="0.2">
      <c r="A42" s="508" t="s">
        <v>3597</v>
      </c>
      <c r="B42" s="416"/>
      <c r="C42" s="416"/>
      <c r="D42" s="416"/>
      <c r="E42" s="416"/>
      <c r="F42" s="416"/>
      <c r="G42" s="416"/>
    </row>
    <row r="43" spans="1:7" x14ac:dyDescent="0.2">
      <c r="A43" s="243"/>
      <c r="B43" s="243"/>
      <c r="C43" s="243"/>
      <c r="D43" s="243"/>
      <c r="E43" s="243"/>
      <c r="F43" s="243"/>
      <c r="G43" s="243"/>
    </row>
    <row r="44" spans="1:7" ht="26.1" customHeight="1" x14ac:dyDescent="0.2">
      <c r="A44" s="505" t="s">
        <v>3598</v>
      </c>
      <c r="B44" s="506"/>
      <c r="C44" s="506"/>
      <c r="D44" s="506"/>
      <c r="E44" s="506"/>
      <c r="F44" s="506"/>
      <c r="G44" s="506"/>
    </row>
    <row r="45" spans="1:7" ht="24" customHeight="1" x14ac:dyDescent="0.2">
      <c r="A45" s="244" t="s">
        <v>2929</v>
      </c>
      <c r="B45" s="244" t="s">
        <v>3599</v>
      </c>
      <c r="C45" s="244" t="s">
        <v>3600</v>
      </c>
      <c r="D45" s="244" t="s">
        <v>3601</v>
      </c>
      <c r="E45" s="244" t="s">
        <v>3602</v>
      </c>
      <c r="F45" s="244"/>
      <c r="G45" s="244"/>
    </row>
    <row r="46" spans="1:7" ht="24" customHeight="1" x14ac:dyDescent="0.2">
      <c r="A46" s="245" t="s">
        <v>3603</v>
      </c>
      <c r="B46" s="245" t="s">
        <v>3604</v>
      </c>
      <c r="C46" s="245" t="s">
        <v>1383</v>
      </c>
      <c r="D46" s="245" t="s">
        <v>3605</v>
      </c>
      <c r="E46" s="245" t="s">
        <v>3606</v>
      </c>
      <c r="F46" s="245"/>
      <c r="G46" s="245"/>
    </row>
    <row r="47" spans="1:7" ht="24" customHeight="1" x14ac:dyDescent="0.2">
      <c r="A47" s="245" t="s">
        <v>3607</v>
      </c>
      <c r="B47" s="245" t="s">
        <v>3608</v>
      </c>
      <c r="C47" s="245" t="s">
        <v>1403</v>
      </c>
      <c r="D47" s="245" t="s">
        <v>3609</v>
      </c>
      <c r="E47" s="245" t="s">
        <v>3610</v>
      </c>
      <c r="F47" s="245"/>
      <c r="G47" s="245"/>
    </row>
    <row r="48" spans="1:7" ht="24" customHeight="1" x14ac:dyDescent="0.2">
      <c r="A48" s="245" t="s">
        <v>3611</v>
      </c>
      <c r="B48" s="245" t="s">
        <v>3612</v>
      </c>
      <c r="C48" s="245" t="s">
        <v>1389</v>
      </c>
      <c r="D48" s="245" t="s">
        <v>3613</v>
      </c>
      <c r="E48" s="245" t="s">
        <v>3614</v>
      </c>
      <c r="F48" s="245"/>
      <c r="G48" s="245"/>
    </row>
    <row r="49" spans="1:7" ht="24" customHeight="1" x14ac:dyDescent="0.2">
      <c r="A49" s="245" t="s">
        <v>3615</v>
      </c>
      <c r="B49" s="245" t="s">
        <v>3616</v>
      </c>
      <c r="C49" s="245" t="s">
        <v>1410</v>
      </c>
      <c r="D49" s="245" t="s">
        <v>3617</v>
      </c>
      <c r="E49" s="245" t="s">
        <v>3618</v>
      </c>
      <c r="F49" s="245"/>
      <c r="G49" s="245"/>
    </row>
    <row r="50" spans="1:7" ht="24" customHeight="1" x14ac:dyDescent="0.2">
      <c r="A50" s="245" t="s">
        <v>3619</v>
      </c>
      <c r="B50" s="245" t="s">
        <v>3620</v>
      </c>
      <c r="C50" s="245" t="s">
        <v>3621</v>
      </c>
      <c r="D50" s="245" t="s">
        <v>3622</v>
      </c>
      <c r="E50" s="245" t="s">
        <v>3623</v>
      </c>
      <c r="F50" s="245"/>
      <c r="G50" s="245"/>
    </row>
    <row r="51" spans="1:7" ht="20.100000000000001" customHeight="1" x14ac:dyDescent="0.2">
      <c r="A51" s="504" t="s">
        <v>3624</v>
      </c>
      <c r="B51" s="416"/>
      <c r="C51" s="416"/>
      <c r="D51" s="416"/>
      <c r="E51" s="416"/>
      <c r="F51" s="416"/>
      <c r="G51" s="416"/>
    </row>
    <row r="52" spans="1:7" ht="20.100000000000001" customHeight="1" x14ac:dyDescent="0.2">
      <c r="A52" s="508" t="s">
        <v>3625</v>
      </c>
      <c r="B52" s="416"/>
      <c r="C52" s="416"/>
      <c r="D52" s="416"/>
      <c r="E52" s="416"/>
      <c r="F52" s="416"/>
      <c r="G52" s="416"/>
    </row>
    <row r="53" spans="1:7" x14ac:dyDescent="0.2">
      <c r="A53" s="243"/>
      <c r="B53" s="243"/>
      <c r="C53" s="243"/>
      <c r="D53" s="243"/>
      <c r="E53" s="243"/>
      <c r="F53" s="243"/>
      <c r="G53" s="243"/>
    </row>
    <row r="54" spans="1:7" ht="26.1" customHeight="1" x14ac:dyDescent="0.2">
      <c r="A54" s="505" t="s">
        <v>3626</v>
      </c>
      <c r="B54" s="506"/>
      <c r="C54" s="506"/>
      <c r="D54" s="506"/>
      <c r="E54" s="506"/>
      <c r="F54" s="506"/>
      <c r="G54" s="506"/>
    </row>
    <row r="55" spans="1:7" ht="24" customHeight="1" x14ac:dyDescent="0.2">
      <c r="A55" s="244" t="s">
        <v>3627</v>
      </c>
      <c r="B55" s="244" t="s">
        <v>252</v>
      </c>
      <c r="C55" s="244" t="s">
        <v>2563</v>
      </c>
      <c r="D55" s="244" t="s">
        <v>1434</v>
      </c>
      <c r="E55" s="244" t="s">
        <v>3628</v>
      </c>
      <c r="F55" s="244"/>
      <c r="G55" s="244"/>
    </row>
    <row r="56" spans="1:7" ht="20.100000000000001" customHeight="1" x14ac:dyDescent="0.2">
      <c r="A56" s="245" t="s">
        <v>3629</v>
      </c>
      <c r="B56" s="245" t="s">
        <v>3630</v>
      </c>
      <c r="C56" s="245" t="s">
        <v>3631</v>
      </c>
      <c r="D56" s="245" t="s">
        <v>3632</v>
      </c>
      <c r="E56" s="245" t="s">
        <v>3633</v>
      </c>
      <c r="F56" s="245"/>
      <c r="G56" s="245"/>
    </row>
    <row r="57" spans="1:7" ht="20.100000000000001" customHeight="1" x14ac:dyDescent="0.2">
      <c r="A57" s="245" t="s">
        <v>3634</v>
      </c>
      <c r="B57" s="245" t="s">
        <v>897</v>
      </c>
      <c r="C57" s="245" t="s">
        <v>3635</v>
      </c>
      <c r="D57" s="245" t="s">
        <v>3636</v>
      </c>
      <c r="E57" s="245" t="s">
        <v>3637</v>
      </c>
      <c r="F57" s="245"/>
      <c r="G57" s="245"/>
    </row>
    <row r="58" spans="1:7" ht="20.100000000000001" customHeight="1" x14ac:dyDescent="0.2">
      <c r="A58" s="245" t="s">
        <v>3638</v>
      </c>
      <c r="B58" s="245" t="s">
        <v>3639</v>
      </c>
      <c r="C58" s="245" t="s">
        <v>3640</v>
      </c>
      <c r="D58" s="245" t="s">
        <v>3641</v>
      </c>
      <c r="E58" s="245" t="s">
        <v>3642</v>
      </c>
      <c r="F58" s="245"/>
      <c r="G58" s="245"/>
    </row>
    <row r="59" spans="1:7" ht="20.100000000000001" customHeight="1" x14ac:dyDescent="0.2">
      <c r="A59" s="245" t="s">
        <v>2394</v>
      </c>
      <c r="B59" s="245" t="s">
        <v>2658</v>
      </c>
      <c r="C59" s="245" t="s">
        <v>3643</v>
      </c>
      <c r="D59" s="245" t="s">
        <v>3644</v>
      </c>
      <c r="E59" s="245" t="s">
        <v>3645</v>
      </c>
      <c r="F59" s="245"/>
      <c r="G59" s="245"/>
    </row>
    <row r="60" spans="1:7" ht="20.100000000000001" customHeight="1" x14ac:dyDescent="0.2">
      <c r="A60" s="245" t="s">
        <v>3646</v>
      </c>
      <c r="B60" s="245" t="s">
        <v>3647</v>
      </c>
      <c r="C60" s="245" t="s">
        <v>3648</v>
      </c>
      <c r="D60" s="245" t="s">
        <v>1091</v>
      </c>
      <c r="E60" s="245" t="s">
        <v>3649</v>
      </c>
      <c r="F60" s="245"/>
      <c r="G60" s="245"/>
    </row>
    <row r="61" spans="1:7" x14ac:dyDescent="0.2">
      <c r="A61" s="243"/>
      <c r="B61" s="243"/>
      <c r="C61" s="243"/>
      <c r="D61" s="243"/>
      <c r="E61" s="243"/>
      <c r="F61" s="243"/>
      <c r="G61" s="243"/>
    </row>
    <row r="62" spans="1:7" ht="26.1" customHeight="1" x14ac:dyDescent="0.2">
      <c r="A62" s="505" t="s">
        <v>3650</v>
      </c>
      <c r="B62" s="506"/>
      <c r="C62" s="506"/>
      <c r="D62" s="506"/>
      <c r="E62" s="506"/>
      <c r="F62" s="506"/>
      <c r="G62" s="506"/>
    </row>
    <row r="63" spans="1:7" ht="20.100000000000001" customHeight="1" x14ac:dyDescent="0.2">
      <c r="A63" s="504" t="s">
        <v>3651</v>
      </c>
      <c r="B63" s="416"/>
      <c r="C63" s="416"/>
      <c r="D63" s="416"/>
      <c r="E63" s="416"/>
      <c r="F63" s="416"/>
      <c r="G63" s="416"/>
    </row>
    <row r="64" spans="1:7" ht="18" customHeight="1" x14ac:dyDescent="0.2">
      <c r="A64" s="507" t="s">
        <v>3652</v>
      </c>
      <c r="B64" s="416"/>
      <c r="C64" s="416"/>
      <c r="D64" s="416"/>
      <c r="E64" s="416"/>
      <c r="F64" s="416"/>
      <c r="G64" s="416"/>
    </row>
    <row r="65" spans="1:7" ht="18" customHeight="1" x14ac:dyDescent="0.2">
      <c r="A65" s="507" t="s">
        <v>3653</v>
      </c>
      <c r="B65" s="416"/>
      <c r="C65" s="416"/>
      <c r="D65" s="416"/>
      <c r="E65" s="416"/>
      <c r="F65" s="416"/>
      <c r="G65" s="416"/>
    </row>
    <row r="66" spans="1:7" ht="18" customHeight="1" x14ac:dyDescent="0.2">
      <c r="A66" s="507" t="s">
        <v>3654</v>
      </c>
      <c r="B66" s="416"/>
      <c r="C66" s="416"/>
      <c r="D66" s="416"/>
      <c r="E66" s="416"/>
      <c r="F66" s="416"/>
      <c r="G66" s="416"/>
    </row>
    <row r="67" spans="1:7" x14ac:dyDescent="0.2">
      <c r="A67" s="243"/>
      <c r="B67" s="243"/>
      <c r="C67" s="243"/>
      <c r="D67" s="243"/>
      <c r="E67" s="243"/>
      <c r="F67" s="243"/>
      <c r="G67" s="243"/>
    </row>
    <row r="68" spans="1:7" ht="26.1" customHeight="1" x14ac:dyDescent="0.2">
      <c r="A68" s="505" t="s">
        <v>3655</v>
      </c>
      <c r="B68" s="506"/>
      <c r="C68" s="506"/>
      <c r="D68" s="506"/>
      <c r="E68" s="506"/>
      <c r="F68" s="506"/>
      <c r="G68" s="506"/>
    </row>
    <row r="69" spans="1:7" ht="24" customHeight="1" x14ac:dyDescent="0.2">
      <c r="A69" s="244" t="s">
        <v>1349</v>
      </c>
      <c r="B69" s="244" t="s">
        <v>2038</v>
      </c>
      <c r="C69" s="244" t="s">
        <v>3656</v>
      </c>
      <c r="D69" s="244" t="s">
        <v>3657</v>
      </c>
      <c r="E69" s="244"/>
      <c r="F69" s="244"/>
      <c r="G69" s="244"/>
    </row>
    <row r="70" spans="1:7" ht="20.100000000000001" customHeight="1" x14ac:dyDescent="0.2">
      <c r="A70" s="246" t="s">
        <v>3647</v>
      </c>
      <c r="B70" s="245" t="s">
        <v>3658</v>
      </c>
      <c r="C70" s="245" t="s">
        <v>3659</v>
      </c>
      <c r="D70" s="245" t="s">
        <v>3660</v>
      </c>
      <c r="E70" s="245"/>
      <c r="F70" s="245"/>
      <c r="G70" s="245"/>
    </row>
    <row r="71" spans="1:7" ht="20.100000000000001" customHeight="1" x14ac:dyDescent="0.2">
      <c r="A71" s="246" t="s">
        <v>1354</v>
      </c>
      <c r="B71" s="245" t="s">
        <v>3661</v>
      </c>
      <c r="C71" s="245" t="s">
        <v>3662</v>
      </c>
      <c r="D71" s="245" t="s">
        <v>3663</v>
      </c>
      <c r="E71" s="245"/>
      <c r="F71" s="245"/>
      <c r="G71" s="245"/>
    </row>
    <row r="72" spans="1:7" ht="20.100000000000001" customHeight="1" x14ac:dyDescent="0.2">
      <c r="A72" s="246" t="s">
        <v>3664</v>
      </c>
      <c r="B72" s="245" t="s">
        <v>3665</v>
      </c>
      <c r="C72" s="245" t="s">
        <v>3666</v>
      </c>
      <c r="D72" s="245" t="s">
        <v>3667</v>
      </c>
      <c r="E72" s="245"/>
      <c r="F72" s="245"/>
      <c r="G72" s="245"/>
    </row>
    <row r="73" spans="1:7" ht="20.100000000000001" customHeight="1" x14ac:dyDescent="0.2">
      <c r="A73" s="246" t="s">
        <v>3668</v>
      </c>
      <c r="B73" s="245" t="s">
        <v>3669</v>
      </c>
      <c r="C73" s="245" t="s">
        <v>3670</v>
      </c>
      <c r="D73" s="245" t="s">
        <v>3671</v>
      </c>
      <c r="E73" s="245"/>
      <c r="F73" s="245"/>
      <c r="G73" s="245"/>
    </row>
    <row r="74" spans="1:7" ht="20.100000000000001" customHeight="1" x14ac:dyDescent="0.2">
      <c r="A74" s="504" t="s">
        <v>3672</v>
      </c>
      <c r="B74" s="416"/>
      <c r="C74" s="416"/>
      <c r="D74" s="416"/>
      <c r="E74" s="416"/>
      <c r="F74" s="416"/>
      <c r="G74" s="416"/>
    </row>
    <row r="75" spans="1:7" ht="18" customHeight="1" x14ac:dyDescent="0.2">
      <c r="A75" s="507" t="s">
        <v>3673</v>
      </c>
      <c r="B75" s="416"/>
      <c r="C75" s="416"/>
      <c r="D75" s="416"/>
      <c r="E75" s="416"/>
      <c r="F75" s="416"/>
      <c r="G75" s="416"/>
    </row>
    <row r="76" spans="1:7" x14ac:dyDescent="0.2">
      <c r="A76" s="243"/>
      <c r="B76" s="243"/>
      <c r="C76" s="243"/>
      <c r="D76" s="243"/>
      <c r="E76" s="243"/>
      <c r="F76" s="243"/>
      <c r="G76" s="243"/>
    </row>
    <row r="77" spans="1:7" ht="26.1" customHeight="1" x14ac:dyDescent="0.2">
      <c r="A77" s="505" t="s">
        <v>3674</v>
      </c>
      <c r="B77" s="506"/>
      <c r="C77" s="506"/>
      <c r="D77" s="506"/>
      <c r="E77" s="506"/>
      <c r="F77" s="506"/>
      <c r="G77" s="506"/>
    </row>
    <row r="78" spans="1:7" ht="24" customHeight="1" x14ac:dyDescent="0.2">
      <c r="A78" s="244" t="s">
        <v>3675</v>
      </c>
      <c r="B78" s="244" t="s">
        <v>3676</v>
      </c>
      <c r="C78" s="244"/>
      <c r="D78" s="244"/>
      <c r="E78" s="244"/>
      <c r="F78" s="244"/>
      <c r="G78" s="244"/>
    </row>
    <row r="79" spans="1:7" ht="20.100000000000001" customHeight="1" x14ac:dyDescent="0.2">
      <c r="A79" s="245" t="s">
        <v>3677</v>
      </c>
      <c r="B79" s="245" t="s">
        <v>3678</v>
      </c>
      <c r="C79" s="245"/>
      <c r="D79" s="245"/>
      <c r="E79" s="245"/>
      <c r="F79" s="245"/>
      <c r="G79" s="245"/>
    </row>
    <row r="80" spans="1:7" ht="20.100000000000001" customHeight="1" x14ac:dyDescent="0.2">
      <c r="A80" s="245" t="s">
        <v>2388</v>
      </c>
      <c r="B80" s="245" t="s">
        <v>3679</v>
      </c>
      <c r="C80" s="245"/>
      <c r="D80" s="245"/>
      <c r="E80" s="245"/>
      <c r="F80" s="245"/>
      <c r="G80" s="245"/>
    </row>
    <row r="81" spans="1:7" ht="20.100000000000001" customHeight="1" x14ac:dyDescent="0.2">
      <c r="A81" s="245" t="s">
        <v>3680</v>
      </c>
      <c r="B81" s="245" t="s">
        <v>3681</v>
      </c>
      <c r="C81" s="245"/>
      <c r="D81" s="245"/>
      <c r="E81" s="245"/>
      <c r="F81" s="245"/>
      <c r="G81" s="245"/>
    </row>
    <row r="82" spans="1:7" ht="20.100000000000001" customHeight="1" x14ac:dyDescent="0.2">
      <c r="A82" s="245" t="s">
        <v>2687</v>
      </c>
      <c r="B82" s="245" t="s">
        <v>3682</v>
      </c>
      <c r="C82" s="245"/>
      <c r="D82" s="245"/>
      <c r="E82" s="245"/>
      <c r="F82" s="245"/>
      <c r="G82" s="245"/>
    </row>
    <row r="83" spans="1:7" ht="20.100000000000001" customHeight="1" x14ac:dyDescent="0.2">
      <c r="A83" s="245" t="s">
        <v>3683</v>
      </c>
      <c r="B83" s="245" t="s">
        <v>3684</v>
      </c>
      <c r="C83" s="245"/>
      <c r="D83" s="245"/>
      <c r="E83" s="245"/>
      <c r="F83" s="245"/>
      <c r="G83" s="245"/>
    </row>
    <row r="84" spans="1:7" ht="20.100000000000001" customHeight="1" x14ac:dyDescent="0.2">
      <c r="A84" s="504" t="s">
        <v>3685</v>
      </c>
      <c r="B84" s="416"/>
      <c r="C84" s="416"/>
      <c r="D84" s="416"/>
      <c r="E84" s="416"/>
      <c r="F84" s="416"/>
      <c r="G84" s="416"/>
    </row>
    <row r="85" spans="1:7" ht="18" customHeight="1" x14ac:dyDescent="0.2">
      <c r="A85" s="507" t="s">
        <v>3686</v>
      </c>
      <c r="B85" s="416"/>
      <c r="C85" s="416"/>
      <c r="D85" s="416"/>
      <c r="E85" s="416"/>
      <c r="F85" s="416"/>
      <c r="G85" s="416"/>
    </row>
    <row r="86" spans="1:7" ht="18" customHeight="1" x14ac:dyDescent="0.2">
      <c r="A86" s="507" t="s">
        <v>3687</v>
      </c>
      <c r="B86" s="416"/>
      <c r="C86" s="416"/>
      <c r="D86" s="416"/>
      <c r="E86" s="416"/>
      <c r="F86" s="416"/>
      <c r="G86" s="416"/>
    </row>
    <row r="87" spans="1:7" x14ac:dyDescent="0.2">
      <c r="A87" s="243"/>
      <c r="B87" s="243"/>
      <c r="C87" s="243"/>
      <c r="D87" s="243"/>
      <c r="E87" s="243"/>
      <c r="F87" s="243"/>
      <c r="G87" s="243"/>
    </row>
    <row r="88" spans="1:7" ht="26.1" customHeight="1" x14ac:dyDescent="0.2">
      <c r="A88" s="505" t="s">
        <v>3688</v>
      </c>
      <c r="B88" s="506"/>
      <c r="C88" s="506"/>
      <c r="D88" s="506"/>
      <c r="E88" s="506"/>
      <c r="F88" s="506"/>
      <c r="G88" s="506"/>
    </row>
    <row r="89" spans="1:7" ht="24" customHeight="1" x14ac:dyDescent="0.2">
      <c r="A89" s="244" t="s">
        <v>3689</v>
      </c>
      <c r="B89" s="244" t="s">
        <v>3690</v>
      </c>
      <c r="C89" s="244" t="s">
        <v>1881</v>
      </c>
      <c r="D89" s="244"/>
      <c r="E89" s="244"/>
      <c r="F89" s="244"/>
      <c r="G89" s="244"/>
    </row>
    <row r="90" spans="1:7" ht="20.100000000000001" customHeight="1" x14ac:dyDescent="0.2">
      <c r="A90" s="245" t="s">
        <v>3691</v>
      </c>
      <c r="B90" s="245" t="s">
        <v>3692</v>
      </c>
      <c r="C90" s="245" t="s">
        <v>3693</v>
      </c>
      <c r="D90" s="245"/>
      <c r="E90" s="245"/>
      <c r="F90" s="245"/>
      <c r="G90" s="245"/>
    </row>
    <row r="91" spans="1:7" ht="20.100000000000001" customHeight="1" x14ac:dyDescent="0.2">
      <c r="A91" s="245" t="s">
        <v>3694</v>
      </c>
      <c r="B91" s="245" t="s">
        <v>3695</v>
      </c>
      <c r="C91" s="245" t="s">
        <v>3696</v>
      </c>
      <c r="D91" s="245"/>
      <c r="E91" s="245"/>
      <c r="F91" s="245"/>
      <c r="G91" s="245"/>
    </row>
    <row r="92" spans="1:7" ht="20.100000000000001" customHeight="1" x14ac:dyDescent="0.2">
      <c r="A92" s="245" t="s">
        <v>3697</v>
      </c>
      <c r="B92" s="245" t="s">
        <v>3698</v>
      </c>
      <c r="C92" s="245" t="s">
        <v>3699</v>
      </c>
      <c r="D92" s="245"/>
      <c r="E92" s="245"/>
      <c r="F92" s="245"/>
      <c r="G92" s="245"/>
    </row>
    <row r="93" spans="1:7" ht="20.100000000000001" customHeight="1" x14ac:dyDescent="0.2">
      <c r="A93" s="245" t="s">
        <v>3700</v>
      </c>
      <c r="B93" s="245" t="s">
        <v>3701</v>
      </c>
      <c r="C93" s="245" t="s">
        <v>3702</v>
      </c>
      <c r="D93" s="245"/>
      <c r="E93" s="245"/>
      <c r="F93" s="245"/>
      <c r="G93" s="245"/>
    </row>
    <row r="94" spans="1:7" ht="20.100000000000001" customHeight="1" x14ac:dyDescent="0.2">
      <c r="A94" s="245" t="s">
        <v>3703</v>
      </c>
      <c r="B94" s="245" t="s">
        <v>3704</v>
      </c>
      <c r="C94" s="245" t="s">
        <v>3705</v>
      </c>
      <c r="D94" s="245"/>
      <c r="E94" s="245"/>
      <c r="F94" s="245"/>
      <c r="G94" s="245"/>
    </row>
    <row r="95" spans="1:7" ht="20.100000000000001" customHeight="1" x14ac:dyDescent="0.2">
      <c r="A95" s="245" t="s">
        <v>3706</v>
      </c>
      <c r="B95" s="245" t="s">
        <v>3707</v>
      </c>
      <c r="C95" s="245" t="s">
        <v>3708</v>
      </c>
      <c r="D95" s="245"/>
      <c r="E95" s="245"/>
      <c r="F95" s="245"/>
      <c r="G95" s="245"/>
    </row>
    <row r="96" spans="1:7" ht="20.100000000000001" customHeight="1" x14ac:dyDescent="0.2">
      <c r="A96" s="245" t="s">
        <v>3709</v>
      </c>
      <c r="B96" s="245" t="s">
        <v>3710</v>
      </c>
      <c r="C96" s="245" t="s">
        <v>3711</v>
      </c>
      <c r="D96" s="245"/>
      <c r="E96" s="245"/>
      <c r="F96" s="245"/>
      <c r="G96" s="245"/>
    </row>
    <row r="97" spans="1:7" x14ac:dyDescent="0.2">
      <c r="A97" s="243"/>
      <c r="B97" s="243"/>
      <c r="C97" s="243"/>
      <c r="D97" s="243"/>
      <c r="E97" s="243"/>
      <c r="F97" s="243"/>
      <c r="G97" s="243"/>
    </row>
    <row r="98" spans="1:7" ht="32.1" customHeight="1" x14ac:dyDescent="0.2">
      <c r="A98" s="509" t="s">
        <v>3712</v>
      </c>
      <c r="B98" s="416"/>
      <c r="C98" s="416"/>
      <c r="D98" s="416"/>
      <c r="E98" s="416"/>
      <c r="F98" s="416"/>
      <c r="G98" s="416"/>
    </row>
    <row r="99" spans="1:7" x14ac:dyDescent="0.2">
      <c r="A99" s="243"/>
      <c r="B99" s="243"/>
      <c r="C99" s="243"/>
      <c r="D99" s="243"/>
      <c r="E99" s="243"/>
      <c r="F99" s="243"/>
      <c r="G99" s="243"/>
    </row>
    <row r="100" spans="1:7" x14ac:dyDescent="0.2">
      <c r="A100" s="243"/>
      <c r="B100" s="243"/>
      <c r="C100" s="243"/>
      <c r="D100" s="243"/>
      <c r="E100" s="243"/>
      <c r="F100" s="243"/>
      <c r="G100" s="243"/>
    </row>
    <row r="101" spans="1:7" x14ac:dyDescent="0.2">
      <c r="A101" s="243"/>
      <c r="B101" s="243"/>
      <c r="C101" s="243"/>
      <c r="D101" s="243"/>
      <c r="E101" s="243"/>
      <c r="F101" s="243"/>
      <c r="G101" s="243"/>
    </row>
    <row r="102" spans="1:7" x14ac:dyDescent="0.2">
      <c r="A102" s="243"/>
      <c r="B102" s="243"/>
      <c r="C102" s="243"/>
      <c r="D102" s="243"/>
      <c r="E102" s="243"/>
      <c r="F102" s="243"/>
      <c r="G102" s="243"/>
    </row>
    <row r="103" spans="1:7" x14ac:dyDescent="0.2">
      <c r="A103" s="243"/>
      <c r="B103" s="243"/>
      <c r="C103" s="243"/>
      <c r="D103" s="243"/>
      <c r="E103" s="243"/>
      <c r="F103" s="243"/>
      <c r="G103" s="243"/>
    </row>
    <row r="104" spans="1:7" x14ac:dyDescent="0.2">
      <c r="A104" s="243"/>
      <c r="B104" s="243"/>
      <c r="C104" s="243"/>
      <c r="D104" s="243"/>
      <c r="E104" s="243"/>
      <c r="F104" s="243"/>
      <c r="G104" s="243"/>
    </row>
    <row r="107" spans="1:7" x14ac:dyDescent="0.2">
      <c r="B107" s="257" t="s">
        <v>853</v>
      </c>
    </row>
    <row r="109" spans="1:7" x14ac:dyDescent="0.2">
      <c r="A109" t="s">
        <v>3713</v>
      </c>
    </row>
    <row r="110" spans="1:7" x14ac:dyDescent="0.2">
      <c r="A110" t="s">
        <v>2208</v>
      </c>
      <c r="B110" t="s">
        <v>3714</v>
      </c>
      <c r="C110" t="s">
        <v>3715</v>
      </c>
      <c r="D110" t="s">
        <v>3716</v>
      </c>
    </row>
    <row r="111" spans="1:7" x14ac:dyDescent="0.2">
      <c r="A111" t="s">
        <v>3717</v>
      </c>
      <c r="B111" t="s">
        <v>3718</v>
      </c>
      <c r="C111" t="s">
        <v>3719</v>
      </c>
      <c r="D111" t="s">
        <v>3646</v>
      </c>
    </row>
    <row r="112" spans="1:7" x14ac:dyDescent="0.2">
      <c r="A112" t="s">
        <v>3720</v>
      </c>
      <c r="B112" t="s">
        <v>3721</v>
      </c>
      <c r="C112" t="s">
        <v>3722</v>
      </c>
      <c r="D112" t="s">
        <v>3723</v>
      </c>
    </row>
    <row r="113" spans="1:4" x14ac:dyDescent="0.2">
      <c r="A113" t="s">
        <v>3724</v>
      </c>
      <c r="B113" t="s">
        <v>3725</v>
      </c>
      <c r="C113" t="s">
        <v>3726</v>
      </c>
      <c r="D113" t="s">
        <v>3727</v>
      </c>
    </row>
    <row r="114" spans="1:4" x14ac:dyDescent="0.2">
      <c r="A114" t="s">
        <v>3728</v>
      </c>
      <c r="B114" t="s">
        <v>3729</v>
      </c>
      <c r="C114" t="s">
        <v>3730</v>
      </c>
      <c r="D114" t="s">
        <v>3731</v>
      </c>
    </row>
    <row r="115" spans="1:4" x14ac:dyDescent="0.2">
      <c r="A115" t="s">
        <v>3732</v>
      </c>
      <c r="B115" t="s">
        <v>3733</v>
      </c>
      <c r="C115" t="s">
        <v>3734</v>
      </c>
      <c r="D115" t="s">
        <v>3735</v>
      </c>
    </row>
    <row r="117" spans="1:4" x14ac:dyDescent="0.2">
      <c r="A117" t="s">
        <v>3736</v>
      </c>
    </row>
    <row r="118" spans="1:4" x14ac:dyDescent="0.2">
      <c r="A118" t="s">
        <v>3737</v>
      </c>
      <c r="B118" t="s">
        <v>3738</v>
      </c>
      <c r="C118" t="s">
        <v>3739</v>
      </c>
    </row>
    <row r="119" spans="1:4" x14ac:dyDescent="0.2">
      <c r="A119" t="s">
        <v>3740</v>
      </c>
      <c r="B119" t="s">
        <v>3741</v>
      </c>
      <c r="C119" t="s">
        <v>3742</v>
      </c>
    </row>
    <row r="120" spans="1:4" x14ac:dyDescent="0.2">
      <c r="A120" t="s">
        <v>3743</v>
      </c>
      <c r="B120" t="s">
        <v>3744</v>
      </c>
      <c r="C120" t="s">
        <v>3745</v>
      </c>
    </row>
    <row r="121" spans="1:4" x14ac:dyDescent="0.2">
      <c r="A121" t="s">
        <v>3746</v>
      </c>
      <c r="B121" t="s">
        <v>3747</v>
      </c>
      <c r="C121" t="s">
        <v>3748</v>
      </c>
    </row>
    <row r="123" spans="1:4" x14ac:dyDescent="0.2">
      <c r="A123" t="s">
        <v>3749</v>
      </c>
    </row>
    <row r="124" spans="1:4" x14ac:dyDescent="0.2">
      <c r="A124" t="s">
        <v>3750</v>
      </c>
    </row>
    <row r="125" spans="1:4" x14ac:dyDescent="0.2">
      <c r="A125" t="s">
        <v>3751</v>
      </c>
    </row>
    <row r="126" spans="1:4" x14ac:dyDescent="0.2">
      <c r="A126" t="s">
        <v>3752</v>
      </c>
    </row>
    <row r="127" spans="1:4" x14ac:dyDescent="0.2">
      <c r="A127" t="s">
        <v>3753</v>
      </c>
    </row>
    <row r="129" spans="1:3" x14ac:dyDescent="0.2">
      <c r="A129" t="s">
        <v>3754</v>
      </c>
    </row>
    <row r="130" spans="1:3" x14ac:dyDescent="0.2">
      <c r="A130" t="s">
        <v>3755</v>
      </c>
      <c r="B130" t="s">
        <v>3756</v>
      </c>
      <c r="C130" t="s">
        <v>3757</v>
      </c>
    </row>
    <row r="131" spans="1:3" x14ac:dyDescent="0.2">
      <c r="A131" t="s">
        <v>3758</v>
      </c>
      <c r="B131" t="s">
        <v>3759</v>
      </c>
      <c r="C131" t="s">
        <v>3760</v>
      </c>
    </row>
  </sheetData>
  <mergeCells count="34">
    <mergeCell ref="A1:G1"/>
    <mergeCell ref="A88:G88"/>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 ref="A77:G77"/>
    <mergeCell ref="A64:G64"/>
    <mergeCell ref="A98:G98"/>
    <mergeCell ref="A51:G51"/>
    <mergeCell ref="A11:G11"/>
    <mergeCell ref="A68:G68"/>
    <mergeCell ref="A63:G63"/>
    <mergeCell ref="A10:G10"/>
    <mergeCell ref="A44:G44"/>
    <mergeCell ref="A40:G40"/>
    <mergeCell ref="A39:G39"/>
    <mergeCell ref="A34:G34"/>
    <mergeCell ref="A17:G17"/>
    <mergeCell ref="A4:G4"/>
    <mergeCell ref="A62:G62"/>
    <mergeCell ref="A20:G20"/>
    <mergeCell ref="A52:G52"/>
    <mergeCell ref="A19:G1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9"/>
  <sheetViews>
    <sheetView workbookViewId="0"/>
  </sheetViews>
  <sheetFormatPr defaultRowHeight="15" x14ac:dyDescent="0.2"/>
  <cols>
    <col min="1" max="1" width="25.01953125" style="396" customWidth="1"/>
    <col min="2" max="2" width="50.04296875" style="396" customWidth="1"/>
    <col min="3" max="3" width="39.953125" style="396" customWidth="1"/>
    <col min="4" max="4" width="34.97265625" style="396" customWidth="1"/>
  </cols>
  <sheetData>
    <row r="1" spans="1:4" ht="24.95" customHeight="1" x14ac:dyDescent="0.2">
      <c r="A1" s="514" t="s">
        <v>3761</v>
      </c>
      <c r="B1" s="416"/>
      <c r="C1" s="416"/>
      <c r="D1" s="416"/>
    </row>
    <row r="2" spans="1:4" ht="18" customHeight="1" x14ac:dyDescent="0.2">
      <c r="A2" s="517" t="s">
        <v>3762</v>
      </c>
      <c r="B2" s="416"/>
      <c r="C2" s="416"/>
      <c r="D2" s="416"/>
    </row>
    <row r="3" spans="1:4" ht="9.9499999999999993" customHeight="1" x14ac:dyDescent="0.2"/>
    <row r="4" spans="1:4" ht="20.100000000000001" customHeight="1" x14ac:dyDescent="0.2">
      <c r="A4" s="515" t="s">
        <v>3763</v>
      </c>
      <c r="B4" s="416"/>
      <c r="C4" s="416"/>
      <c r="D4" s="416"/>
    </row>
    <row r="5" spans="1:4" ht="18" customHeight="1" x14ac:dyDescent="0.2">
      <c r="A5" s="247" t="s">
        <v>3764</v>
      </c>
      <c r="B5" s="247" t="s">
        <v>3765</v>
      </c>
      <c r="C5" s="247" t="s">
        <v>3766</v>
      </c>
      <c r="D5" s="247" t="s">
        <v>3767</v>
      </c>
    </row>
    <row r="6" spans="1:4" ht="84.95" customHeight="1" x14ac:dyDescent="0.2">
      <c r="A6" s="412" t="s">
        <v>3768</v>
      </c>
      <c r="B6" s="413" t="s">
        <v>3769</v>
      </c>
      <c r="C6" s="248" t="s">
        <v>3770</v>
      </c>
      <c r="D6" s="413" t="s">
        <v>3771</v>
      </c>
    </row>
    <row r="7" spans="1:4" ht="84.95" customHeight="1" x14ac:dyDescent="0.2">
      <c r="A7" s="412" t="s">
        <v>3772</v>
      </c>
      <c r="B7" s="413" t="s">
        <v>3773</v>
      </c>
      <c r="C7" s="248" t="s">
        <v>3774</v>
      </c>
      <c r="D7" s="413" t="s">
        <v>3775</v>
      </c>
    </row>
    <row r="8" spans="1:4" ht="84.95" customHeight="1" x14ac:dyDescent="0.2">
      <c r="A8" s="412" t="s">
        <v>3776</v>
      </c>
      <c r="B8" s="413" t="s">
        <v>2404</v>
      </c>
      <c r="C8" s="248" t="s">
        <v>3777</v>
      </c>
      <c r="D8" s="413" t="s">
        <v>3778</v>
      </c>
    </row>
    <row r="9" spans="1:4" ht="84.95" customHeight="1" x14ac:dyDescent="0.2">
      <c r="A9" s="412" t="s">
        <v>3779</v>
      </c>
      <c r="B9" s="413" t="s">
        <v>2493</v>
      </c>
      <c r="C9" s="248" t="s">
        <v>3780</v>
      </c>
      <c r="D9" s="413" t="s">
        <v>3781</v>
      </c>
    </row>
    <row r="10" spans="1:4" ht="84.95" customHeight="1" x14ac:dyDescent="0.2">
      <c r="A10" s="412" t="s">
        <v>3782</v>
      </c>
      <c r="B10" s="413" t="s">
        <v>3783</v>
      </c>
      <c r="C10" s="248" t="s">
        <v>3784</v>
      </c>
      <c r="D10" s="413" t="s">
        <v>3785</v>
      </c>
    </row>
    <row r="12" spans="1:4" ht="20.100000000000001" customHeight="1" x14ac:dyDescent="0.2">
      <c r="A12" s="515" t="s">
        <v>3786</v>
      </c>
      <c r="B12" s="416"/>
      <c r="C12" s="416"/>
      <c r="D12" s="416"/>
    </row>
    <row r="13" spans="1:4" ht="39.950000000000003" customHeight="1" x14ac:dyDescent="0.2">
      <c r="A13" s="518" t="s">
        <v>3787</v>
      </c>
      <c r="B13" s="416"/>
      <c r="C13" s="416"/>
      <c r="D13" s="416"/>
    </row>
    <row r="15" spans="1:4" ht="20.100000000000001" customHeight="1" x14ac:dyDescent="0.2">
      <c r="A15" s="515" t="s">
        <v>3788</v>
      </c>
      <c r="B15" s="416"/>
      <c r="C15" s="416"/>
      <c r="D15" s="416"/>
    </row>
    <row r="16" spans="1:4" ht="24.95" customHeight="1" x14ac:dyDescent="0.2">
      <c r="A16" s="516" t="s">
        <v>3789</v>
      </c>
      <c r="B16" s="416"/>
      <c r="C16" s="416"/>
      <c r="D16" s="416"/>
    </row>
    <row r="19" spans="2:2" x14ac:dyDescent="0.2">
      <c r="B19" s="257" t="s">
        <v>853</v>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54"/>
  <sheetViews>
    <sheetView workbookViewId="0"/>
  </sheetViews>
  <sheetFormatPr defaultRowHeight="15" x14ac:dyDescent="0.2"/>
  <cols>
    <col min="1" max="1" width="4.9765625" style="396" customWidth="1"/>
    <col min="2" max="2" width="18.0234375" style="396" customWidth="1"/>
    <col min="3" max="3" width="55.01953125" style="396" customWidth="1"/>
    <col min="4" max="4" width="11.97265625" style="396" customWidth="1"/>
    <col min="5" max="6" width="14.9296875" style="396" customWidth="1"/>
  </cols>
  <sheetData>
    <row r="1" spans="1:6" ht="18.75" customHeight="1" x14ac:dyDescent="0.2">
      <c r="A1" s="519" t="s">
        <v>3790</v>
      </c>
      <c r="B1" s="416"/>
      <c r="C1" s="416"/>
      <c r="D1" s="416"/>
      <c r="E1" s="416"/>
      <c r="F1" s="416"/>
    </row>
    <row r="2" spans="1:6" x14ac:dyDescent="0.2">
      <c r="A2" s="249" t="s">
        <v>379</v>
      </c>
      <c r="B2" s="249" t="s">
        <v>3791</v>
      </c>
      <c r="C2" s="249" t="s">
        <v>3792</v>
      </c>
      <c r="D2" s="249" t="s">
        <v>363</v>
      </c>
      <c r="E2" s="249" t="s">
        <v>364</v>
      </c>
      <c r="F2" s="249" t="s">
        <v>3793</v>
      </c>
    </row>
    <row r="3" spans="1:6" x14ac:dyDescent="0.2">
      <c r="A3" s="250">
        <v>1</v>
      </c>
      <c r="B3" s="250" t="s">
        <v>3794</v>
      </c>
      <c r="C3" s="250" t="s">
        <v>3795</v>
      </c>
      <c r="D3" s="250" t="s">
        <v>3796</v>
      </c>
      <c r="E3" s="250"/>
      <c r="F3" s="250"/>
    </row>
    <row r="4" spans="1:6" x14ac:dyDescent="0.2">
      <c r="A4" s="251">
        <v>2</v>
      </c>
      <c r="B4" s="251" t="s">
        <v>3794</v>
      </c>
      <c r="C4" s="251" t="s">
        <v>3797</v>
      </c>
      <c r="D4" s="251" t="s">
        <v>3796</v>
      </c>
      <c r="E4" s="251"/>
      <c r="F4" s="251"/>
    </row>
    <row r="5" spans="1:6" x14ac:dyDescent="0.2">
      <c r="A5" s="250">
        <v>3</v>
      </c>
      <c r="B5" s="250" t="s">
        <v>3798</v>
      </c>
      <c r="C5" s="250" t="s">
        <v>3799</v>
      </c>
      <c r="D5" s="250" t="s">
        <v>3796</v>
      </c>
      <c r="E5" s="250"/>
      <c r="F5" s="250"/>
    </row>
    <row r="6" spans="1:6" x14ac:dyDescent="0.2">
      <c r="A6" s="251">
        <v>4</v>
      </c>
      <c r="B6" s="251" t="s">
        <v>3798</v>
      </c>
      <c r="C6" s="251" t="s">
        <v>3800</v>
      </c>
      <c r="D6" s="251" t="s">
        <v>3796</v>
      </c>
      <c r="E6" s="251"/>
      <c r="F6" s="251"/>
    </row>
    <row r="7" spans="1:6" x14ac:dyDescent="0.2">
      <c r="A7" s="250">
        <v>5</v>
      </c>
      <c r="B7" s="250" t="s">
        <v>3798</v>
      </c>
      <c r="C7" s="250" t="s">
        <v>3801</v>
      </c>
      <c r="D7" s="250" t="s">
        <v>3796</v>
      </c>
      <c r="E7" s="250"/>
      <c r="F7" s="250"/>
    </row>
    <row r="8" spans="1:6" x14ac:dyDescent="0.2">
      <c r="A8" s="251">
        <v>6</v>
      </c>
      <c r="B8" s="251" t="s">
        <v>3802</v>
      </c>
      <c r="C8" s="251" t="s">
        <v>3803</v>
      </c>
      <c r="D8" s="251" t="s">
        <v>3796</v>
      </c>
      <c r="E8" s="251"/>
      <c r="F8" s="251"/>
    </row>
    <row r="9" spans="1:6" x14ac:dyDescent="0.2">
      <c r="A9" s="250">
        <v>7</v>
      </c>
      <c r="B9" s="250" t="s">
        <v>3802</v>
      </c>
      <c r="C9" s="250" t="s">
        <v>3804</v>
      </c>
      <c r="D9" s="250" t="s">
        <v>3796</v>
      </c>
      <c r="E9" s="250"/>
      <c r="F9" s="250"/>
    </row>
    <row r="10" spans="1:6" x14ac:dyDescent="0.2">
      <c r="A10" s="251">
        <v>8</v>
      </c>
      <c r="B10" s="251" t="s">
        <v>3805</v>
      </c>
      <c r="C10" s="251" t="s">
        <v>3806</v>
      </c>
      <c r="D10" s="251" t="s">
        <v>3796</v>
      </c>
      <c r="E10" s="251"/>
      <c r="F10" s="251"/>
    </row>
    <row r="11" spans="1:6" x14ac:dyDescent="0.2">
      <c r="A11" s="250">
        <v>9</v>
      </c>
      <c r="B11" s="250" t="s">
        <v>3805</v>
      </c>
      <c r="C11" s="250" t="s">
        <v>3807</v>
      </c>
      <c r="D11" s="250" t="s">
        <v>3796</v>
      </c>
      <c r="E11" s="250"/>
      <c r="F11" s="250"/>
    </row>
    <row r="12" spans="1:6" x14ac:dyDescent="0.2">
      <c r="A12" s="251">
        <v>10</v>
      </c>
      <c r="B12" s="251" t="s">
        <v>3808</v>
      </c>
      <c r="C12" s="251" t="s">
        <v>3809</v>
      </c>
      <c r="D12" s="251" t="s">
        <v>3796</v>
      </c>
      <c r="E12" s="251"/>
      <c r="F12" s="251"/>
    </row>
    <row r="13" spans="1:6" x14ac:dyDescent="0.2">
      <c r="A13" s="250">
        <v>11</v>
      </c>
      <c r="B13" s="250" t="s">
        <v>3808</v>
      </c>
      <c r="C13" s="250" t="s">
        <v>3810</v>
      </c>
      <c r="D13" s="250" t="s">
        <v>3796</v>
      </c>
      <c r="E13" s="250"/>
      <c r="F13" s="250"/>
    </row>
    <row r="14" spans="1:6" ht="25.5" customHeight="1" x14ac:dyDescent="0.2">
      <c r="A14" s="251">
        <v>12</v>
      </c>
      <c r="B14" s="251" t="s">
        <v>3811</v>
      </c>
      <c r="C14" s="251" t="s">
        <v>3812</v>
      </c>
      <c r="D14" s="251" t="s">
        <v>3796</v>
      </c>
      <c r="E14" s="251"/>
      <c r="F14" s="251"/>
    </row>
    <row r="15" spans="1:6" x14ac:dyDescent="0.2">
      <c r="A15" s="250">
        <v>13</v>
      </c>
      <c r="B15" s="250" t="s">
        <v>3813</v>
      </c>
      <c r="C15" s="250" t="s">
        <v>3814</v>
      </c>
      <c r="D15" s="250" t="s">
        <v>3796</v>
      </c>
      <c r="E15" s="250"/>
      <c r="F15" s="250"/>
    </row>
    <row r="16" spans="1:6" x14ac:dyDescent="0.2">
      <c r="A16" s="251">
        <v>14</v>
      </c>
      <c r="B16" s="251" t="s">
        <v>3815</v>
      </c>
      <c r="C16" s="251" t="s">
        <v>3816</v>
      </c>
      <c r="D16" s="251" t="s">
        <v>3796</v>
      </c>
      <c r="E16" s="251"/>
      <c r="F16" s="251"/>
    </row>
    <row r="17" spans="1:6" x14ac:dyDescent="0.2">
      <c r="A17" s="250">
        <v>15</v>
      </c>
      <c r="B17" s="250" t="s">
        <v>3817</v>
      </c>
      <c r="C17" s="250" t="s">
        <v>3818</v>
      </c>
      <c r="D17" s="250" t="s">
        <v>3796</v>
      </c>
      <c r="E17" s="250"/>
      <c r="F17" s="250"/>
    </row>
    <row r="18" spans="1:6" x14ac:dyDescent="0.2">
      <c r="A18" s="251">
        <v>16</v>
      </c>
      <c r="B18" s="251" t="s">
        <v>3819</v>
      </c>
      <c r="C18" s="251" t="s">
        <v>3820</v>
      </c>
      <c r="D18" s="251" t="s">
        <v>3796</v>
      </c>
      <c r="E18" s="251"/>
      <c r="F18" s="251"/>
    </row>
    <row r="19" spans="1:6" x14ac:dyDescent="0.2">
      <c r="A19" s="250">
        <v>17</v>
      </c>
      <c r="B19" s="250" t="s">
        <v>3821</v>
      </c>
      <c r="C19" s="250" t="s">
        <v>3822</v>
      </c>
      <c r="D19" s="250" t="s">
        <v>3796</v>
      </c>
      <c r="E19" s="250"/>
      <c r="F19" s="250"/>
    </row>
    <row r="20" spans="1:6" x14ac:dyDescent="0.2">
      <c r="A20" s="251">
        <v>18</v>
      </c>
      <c r="B20" s="251" t="s">
        <v>3821</v>
      </c>
      <c r="C20" s="251" t="s">
        <v>3823</v>
      </c>
      <c r="D20" s="251" t="s">
        <v>3796</v>
      </c>
      <c r="E20" s="251"/>
      <c r="F20" s="251"/>
    </row>
    <row r="21" spans="1:6" x14ac:dyDescent="0.2">
      <c r="A21" s="250">
        <v>19</v>
      </c>
      <c r="B21" s="250" t="s">
        <v>3821</v>
      </c>
      <c r="C21" s="250" t="s">
        <v>3824</v>
      </c>
      <c r="D21" s="250" t="s">
        <v>3796</v>
      </c>
      <c r="E21" s="250"/>
      <c r="F21" s="250"/>
    </row>
    <row r="22" spans="1:6" x14ac:dyDescent="0.2">
      <c r="A22" s="251">
        <v>20</v>
      </c>
      <c r="B22" s="251" t="s">
        <v>3821</v>
      </c>
      <c r="C22" s="251" t="s">
        <v>3825</v>
      </c>
      <c r="D22" s="251" t="s">
        <v>3796</v>
      </c>
      <c r="E22" s="251"/>
      <c r="F22" s="251"/>
    </row>
    <row r="23" spans="1:6" x14ac:dyDescent="0.2">
      <c r="A23" s="250">
        <v>21</v>
      </c>
      <c r="B23" s="250" t="s">
        <v>3826</v>
      </c>
      <c r="C23" s="250" t="s">
        <v>3827</v>
      </c>
      <c r="D23" s="250" t="s">
        <v>3796</v>
      </c>
      <c r="E23" s="250"/>
      <c r="F23" s="250"/>
    </row>
    <row r="24" spans="1:6" x14ac:dyDescent="0.2">
      <c r="A24" s="251">
        <v>22</v>
      </c>
      <c r="B24" s="251" t="s">
        <v>3828</v>
      </c>
      <c r="C24" s="251" t="s">
        <v>3829</v>
      </c>
      <c r="D24" s="251" t="s">
        <v>3796</v>
      </c>
      <c r="E24" s="251"/>
      <c r="F24" s="251"/>
    </row>
    <row r="25" spans="1:6" x14ac:dyDescent="0.2">
      <c r="A25" s="250">
        <v>23</v>
      </c>
      <c r="B25" s="250" t="s">
        <v>3828</v>
      </c>
      <c r="C25" s="250" t="s">
        <v>3830</v>
      </c>
      <c r="D25" s="250" t="s">
        <v>3796</v>
      </c>
      <c r="E25" s="250"/>
      <c r="F25" s="250"/>
    </row>
    <row r="26" spans="1:6" x14ac:dyDescent="0.2">
      <c r="A26" s="251">
        <v>24</v>
      </c>
      <c r="B26" s="251" t="s">
        <v>3831</v>
      </c>
      <c r="C26" s="251" t="s">
        <v>3832</v>
      </c>
      <c r="D26" s="251" t="s">
        <v>3796</v>
      </c>
      <c r="E26" s="251"/>
      <c r="F26" s="251"/>
    </row>
    <row r="27" spans="1:6" x14ac:dyDescent="0.2">
      <c r="A27" s="250">
        <v>25</v>
      </c>
      <c r="B27" s="250" t="s">
        <v>3833</v>
      </c>
      <c r="C27" s="250" t="s">
        <v>3834</v>
      </c>
      <c r="D27" s="250" t="s">
        <v>3796</v>
      </c>
      <c r="E27" s="250"/>
      <c r="F27" s="250"/>
    </row>
    <row r="28" spans="1:6" x14ac:dyDescent="0.2">
      <c r="A28" s="251">
        <v>26</v>
      </c>
      <c r="B28" s="251" t="s">
        <v>3835</v>
      </c>
      <c r="C28" s="251" t="s">
        <v>3836</v>
      </c>
      <c r="D28" s="251" t="s">
        <v>3796</v>
      </c>
      <c r="E28" s="251"/>
      <c r="F28" s="251"/>
    </row>
    <row r="29" spans="1:6" x14ac:dyDescent="0.2">
      <c r="A29" s="250">
        <v>27</v>
      </c>
      <c r="B29" s="250" t="s">
        <v>3837</v>
      </c>
      <c r="C29" s="250" t="s">
        <v>3838</v>
      </c>
      <c r="D29" s="250" t="s">
        <v>3796</v>
      </c>
      <c r="E29" s="250"/>
      <c r="F29" s="250"/>
    </row>
    <row r="30" spans="1:6" x14ac:dyDescent="0.2">
      <c r="A30" s="251">
        <v>28</v>
      </c>
      <c r="B30" s="251" t="s">
        <v>3839</v>
      </c>
      <c r="C30" s="251" t="s">
        <v>3840</v>
      </c>
      <c r="D30" s="251" t="s">
        <v>3796</v>
      </c>
      <c r="E30" s="251"/>
      <c r="F30" s="251"/>
    </row>
    <row r="31" spans="1:6" x14ac:dyDescent="0.2">
      <c r="A31" s="250">
        <v>29</v>
      </c>
      <c r="B31" s="250" t="s">
        <v>3841</v>
      </c>
      <c r="C31" s="250" t="s">
        <v>3842</v>
      </c>
      <c r="D31" s="250" t="s">
        <v>3796</v>
      </c>
      <c r="E31" s="250"/>
      <c r="F31" s="250"/>
    </row>
    <row r="32" spans="1:6" x14ac:dyDescent="0.2">
      <c r="A32" s="251">
        <v>30</v>
      </c>
      <c r="B32" s="251" t="s">
        <v>3841</v>
      </c>
      <c r="C32" s="251" t="s">
        <v>3843</v>
      </c>
      <c r="D32" s="251" t="s">
        <v>3796</v>
      </c>
      <c r="E32" s="251"/>
      <c r="F32" s="251"/>
    </row>
    <row r="33" spans="1:6" x14ac:dyDescent="0.2">
      <c r="A33" s="250">
        <v>31</v>
      </c>
      <c r="B33" s="250" t="s">
        <v>3844</v>
      </c>
      <c r="C33" s="250" t="s">
        <v>3845</v>
      </c>
      <c r="D33" s="250" t="s">
        <v>3796</v>
      </c>
      <c r="E33" s="250"/>
      <c r="F33" s="250"/>
    </row>
    <row r="34" spans="1:6" x14ac:dyDescent="0.2">
      <c r="A34" s="251">
        <v>32</v>
      </c>
      <c r="B34" s="251" t="s">
        <v>3844</v>
      </c>
      <c r="C34" s="251" t="s">
        <v>3846</v>
      </c>
      <c r="D34" s="251" t="s">
        <v>3796</v>
      </c>
      <c r="E34" s="251"/>
      <c r="F34" s="251"/>
    </row>
    <row r="35" spans="1:6" x14ac:dyDescent="0.2">
      <c r="A35" s="250">
        <v>33</v>
      </c>
      <c r="B35" s="250" t="s">
        <v>3847</v>
      </c>
      <c r="C35" s="250" t="s">
        <v>3848</v>
      </c>
      <c r="D35" s="250" t="s">
        <v>3796</v>
      </c>
      <c r="E35" s="250"/>
      <c r="F35" s="250"/>
    </row>
    <row r="36" spans="1:6" x14ac:dyDescent="0.2">
      <c r="A36" s="251">
        <v>34</v>
      </c>
      <c r="B36" s="251" t="s">
        <v>3849</v>
      </c>
      <c r="C36" s="251" t="s">
        <v>3850</v>
      </c>
      <c r="D36" s="251" t="s">
        <v>3796</v>
      </c>
      <c r="E36" s="251"/>
      <c r="F36" s="251"/>
    </row>
    <row r="37" spans="1:6" x14ac:dyDescent="0.2">
      <c r="A37" s="250">
        <v>35</v>
      </c>
      <c r="B37" s="250" t="s">
        <v>3851</v>
      </c>
      <c r="C37" s="250" t="s">
        <v>3852</v>
      </c>
      <c r="D37" s="250" t="s">
        <v>3796</v>
      </c>
      <c r="E37" s="250"/>
      <c r="F37" s="250"/>
    </row>
    <row r="38" spans="1:6" x14ac:dyDescent="0.2">
      <c r="A38" s="251">
        <v>36</v>
      </c>
      <c r="B38" s="251" t="s">
        <v>3853</v>
      </c>
      <c r="C38" s="251" t="s">
        <v>3854</v>
      </c>
      <c r="D38" s="251" t="s">
        <v>3796</v>
      </c>
      <c r="E38" s="251"/>
      <c r="F38" s="251"/>
    </row>
    <row r="39" spans="1:6" x14ac:dyDescent="0.2">
      <c r="A39" s="250">
        <v>37</v>
      </c>
      <c r="B39" s="250" t="s">
        <v>3853</v>
      </c>
      <c r="C39" s="250" t="s">
        <v>3855</v>
      </c>
      <c r="D39" s="250" t="s">
        <v>3796</v>
      </c>
      <c r="E39" s="250"/>
      <c r="F39" s="250"/>
    </row>
    <row r="40" spans="1:6" x14ac:dyDescent="0.2">
      <c r="A40" s="251">
        <v>38</v>
      </c>
      <c r="B40" s="251" t="s">
        <v>3853</v>
      </c>
      <c r="C40" s="251" t="s">
        <v>3856</v>
      </c>
      <c r="D40" s="251" t="s">
        <v>3796</v>
      </c>
      <c r="E40" s="251"/>
      <c r="F40" s="251"/>
    </row>
    <row r="41" spans="1:6" x14ac:dyDescent="0.2">
      <c r="A41" s="250">
        <v>39</v>
      </c>
      <c r="B41" s="250" t="s">
        <v>3853</v>
      </c>
      <c r="C41" s="250" t="s">
        <v>3857</v>
      </c>
      <c r="D41" s="250" t="s">
        <v>3796</v>
      </c>
      <c r="E41" s="250"/>
      <c r="F41" s="250"/>
    </row>
    <row r="42" spans="1:6" x14ac:dyDescent="0.2">
      <c r="A42" s="251">
        <v>40</v>
      </c>
      <c r="B42" s="251" t="s">
        <v>3853</v>
      </c>
      <c r="C42" s="251" t="s">
        <v>3858</v>
      </c>
      <c r="D42" s="251" t="s">
        <v>3796</v>
      </c>
      <c r="E42" s="251"/>
      <c r="F42" s="251"/>
    </row>
    <row r="43" spans="1:6" x14ac:dyDescent="0.2">
      <c r="A43" s="250">
        <v>41</v>
      </c>
      <c r="B43" s="250" t="s">
        <v>3853</v>
      </c>
      <c r="C43" s="250" t="s">
        <v>3859</v>
      </c>
      <c r="D43" s="250" t="s">
        <v>3796</v>
      </c>
      <c r="E43" s="250"/>
      <c r="F43" s="250"/>
    </row>
    <row r="44" spans="1:6" x14ac:dyDescent="0.2">
      <c r="A44" s="251">
        <v>42</v>
      </c>
      <c r="B44" s="251" t="s">
        <v>3853</v>
      </c>
      <c r="C44" s="251" t="s">
        <v>3860</v>
      </c>
      <c r="D44" s="251" t="s">
        <v>3796</v>
      </c>
      <c r="E44" s="251"/>
      <c r="F44" s="251"/>
    </row>
    <row r="45" spans="1:6" x14ac:dyDescent="0.2">
      <c r="A45" s="250">
        <v>43</v>
      </c>
      <c r="B45" s="250" t="s">
        <v>3853</v>
      </c>
      <c r="C45" s="250" t="s">
        <v>3861</v>
      </c>
      <c r="D45" s="250" t="s">
        <v>3796</v>
      </c>
      <c r="E45" s="250"/>
      <c r="F45" s="250"/>
    </row>
    <row r="46" spans="1:6" x14ac:dyDescent="0.2">
      <c r="A46" s="251">
        <v>44</v>
      </c>
      <c r="B46" s="251" t="s">
        <v>3853</v>
      </c>
      <c r="C46" s="251" t="s">
        <v>3862</v>
      </c>
      <c r="D46" s="251" t="s">
        <v>3796</v>
      </c>
      <c r="E46" s="251"/>
      <c r="F46" s="251"/>
    </row>
    <row r="47" spans="1:6" x14ac:dyDescent="0.2">
      <c r="A47" s="250">
        <v>45</v>
      </c>
      <c r="B47" s="250" t="s">
        <v>3853</v>
      </c>
      <c r="C47" s="250" t="s">
        <v>3863</v>
      </c>
      <c r="D47" s="250" t="s">
        <v>3796</v>
      </c>
      <c r="E47" s="250"/>
      <c r="F47" s="250"/>
    </row>
    <row r="48" spans="1:6" x14ac:dyDescent="0.2">
      <c r="A48" s="251">
        <v>46</v>
      </c>
      <c r="B48" s="251" t="s">
        <v>3853</v>
      </c>
      <c r="C48" s="251" t="s">
        <v>3864</v>
      </c>
      <c r="D48" s="251" t="s">
        <v>3796</v>
      </c>
      <c r="E48" s="251"/>
      <c r="F48" s="251"/>
    </row>
    <row r="49" spans="1:6" x14ac:dyDescent="0.2">
      <c r="A49" s="250">
        <v>47</v>
      </c>
      <c r="B49" s="250" t="s">
        <v>3853</v>
      </c>
      <c r="C49" s="250" t="s">
        <v>3865</v>
      </c>
      <c r="D49" s="250" t="s">
        <v>3796</v>
      </c>
      <c r="E49" s="250"/>
      <c r="F49" s="250"/>
    </row>
    <row r="50" spans="1:6" x14ac:dyDescent="0.2">
      <c r="A50" s="251">
        <v>48</v>
      </c>
      <c r="B50" s="251" t="s">
        <v>3853</v>
      </c>
      <c r="C50" s="251" t="s">
        <v>3866</v>
      </c>
      <c r="D50" s="251" t="s">
        <v>3796</v>
      </c>
      <c r="E50" s="251"/>
      <c r="F50" s="251"/>
    </row>
    <row r="51" spans="1:6" x14ac:dyDescent="0.2">
      <c r="A51" s="250">
        <v>49</v>
      </c>
      <c r="B51" s="250" t="s">
        <v>3853</v>
      </c>
      <c r="C51" s="250" t="s">
        <v>3867</v>
      </c>
      <c r="D51" s="250" t="s">
        <v>3796</v>
      </c>
      <c r="E51" s="250"/>
      <c r="F51" s="250"/>
    </row>
    <row r="54" spans="1:6" x14ac:dyDescent="0.2">
      <c r="B54" s="257" t="s">
        <v>853</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48"/>
  <sheetViews>
    <sheetView workbookViewId="0"/>
  </sheetViews>
  <sheetFormatPr defaultRowHeight="15" x14ac:dyDescent="0.2"/>
  <cols>
    <col min="1" max="1" width="4.9765625" style="396" customWidth="1"/>
    <col min="2" max="2" width="7.93359375" style="396" customWidth="1"/>
    <col min="3" max="3" width="34.97265625" style="396" customWidth="1"/>
    <col min="4" max="5" width="11.97265625" style="396" customWidth="1"/>
  </cols>
  <sheetData>
    <row r="1" spans="1:5" ht="18.75" customHeight="1" x14ac:dyDescent="0.2">
      <c r="A1" s="519" t="s">
        <v>3868</v>
      </c>
      <c r="B1" s="416"/>
      <c r="C1" s="416"/>
      <c r="D1" s="416"/>
      <c r="E1" s="416"/>
    </row>
    <row r="2" spans="1:5" x14ac:dyDescent="0.2">
      <c r="A2" s="252" t="s">
        <v>379</v>
      </c>
      <c r="B2" s="252" t="s">
        <v>1434</v>
      </c>
      <c r="C2" s="252" t="s">
        <v>3869</v>
      </c>
      <c r="D2" s="252" t="s">
        <v>2143</v>
      </c>
      <c r="E2" s="252" t="s">
        <v>2347</v>
      </c>
    </row>
    <row r="3" spans="1:5" x14ac:dyDescent="0.2">
      <c r="A3" s="250">
        <v>1</v>
      </c>
      <c r="B3" s="250" t="s">
        <v>1642</v>
      </c>
      <c r="C3" s="250" t="s">
        <v>3870</v>
      </c>
      <c r="D3" s="250" t="s">
        <v>2068</v>
      </c>
      <c r="E3" s="250" t="s">
        <v>1202</v>
      </c>
    </row>
    <row r="4" spans="1:5" x14ac:dyDescent="0.2">
      <c r="A4" s="251">
        <v>2</v>
      </c>
      <c r="B4" s="251" t="s">
        <v>1642</v>
      </c>
      <c r="C4" s="251" t="s">
        <v>3871</v>
      </c>
      <c r="D4" s="251" t="s">
        <v>2076</v>
      </c>
      <c r="E4" s="251" t="s">
        <v>1202</v>
      </c>
    </row>
    <row r="5" spans="1:5" x14ac:dyDescent="0.2">
      <c r="A5" s="250">
        <v>3</v>
      </c>
      <c r="B5" s="250" t="s">
        <v>1642</v>
      </c>
      <c r="C5" s="250" t="s">
        <v>3872</v>
      </c>
      <c r="D5" s="250" t="s">
        <v>2076</v>
      </c>
      <c r="E5" s="250" t="s">
        <v>1202</v>
      </c>
    </row>
    <row r="6" spans="1:5" x14ac:dyDescent="0.2">
      <c r="A6" s="251">
        <v>4</v>
      </c>
      <c r="B6" s="251" t="s">
        <v>1642</v>
      </c>
      <c r="C6" s="251" t="s">
        <v>3873</v>
      </c>
      <c r="D6" s="251" t="s">
        <v>2085</v>
      </c>
      <c r="E6" s="251" t="s">
        <v>1202</v>
      </c>
    </row>
    <row r="7" spans="1:5" x14ac:dyDescent="0.2">
      <c r="A7" s="250">
        <v>5</v>
      </c>
      <c r="B7" s="250" t="s">
        <v>1642</v>
      </c>
      <c r="C7" s="250" t="s">
        <v>3874</v>
      </c>
      <c r="D7" s="250" t="s">
        <v>2085</v>
      </c>
      <c r="E7" s="250" t="s">
        <v>1202</v>
      </c>
    </row>
    <row r="8" spans="1:5" x14ac:dyDescent="0.2">
      <c r="A8" s="251">
        <v>6</v>
      </c>
      <c r="B8" s="251" t="s">
        <v>1642</v>
      </c>
      <c r="C8" s="251" t="s">
        <v>3875</v>
      </c>
      <c r="D8" s="251" t="s">
        <v>2095</v>
      </c>
      <c r="E8" s="251" t="s">
        <v>1202</v>
      </c>
    </row>
    <row r="9" spans="1:5" x14ac:dyDescent="0.2">
      <c r="A9" s="250">
        <v>7</v>
      </c>
      <c r="B9" s="250" t="s">
        <v>1642</v>
      </c>
      <c r="C9" s="250" t="s">
        <v>3876</v>
      </c>
      <c r="D9" s="250" t="s">
        <v>2099</v>
      </c>
      <c r="E9" s="250" t="s">
        <v>1202</v>
      </c>
    </row>
    <row r="10" spans="1:5" x14ac:dyDescent="0.2">
      <c r="A10" s="251">
        <v>8</v>
      </c>
      <c r="B10" s="251" t="s">
        <v>1642</v>
      </c>
      <c r="C10" s="251" t="s">
        <v>3877</v>
      </c>
      <c r="D10" s="251" t="s">
        <v>2068</v>
      </c>
      <c r="E10" s="251" t="s">
        <v>1202</v>
      </c>
    </row>
    <row r="11" spans="1:5" x14ac:dyDescent="0.2">
      <c r="A11" s="250">
        <v>9</v>
      </c>
      <c r="B11" s="250" t="s">
        <v>1642</v>
      </c>
      <c r="C11" s="250" t="s">
        <v>3878</v>
      </c>
      <c r="D11" s="250" t="s">
        <v>2068</v>
      </c>
      <c r="E11" s="250" t="s">
        <v>1202</v>
      </c>
    </row>
    <row r="12" spans="1:5" x14ac:dyDescent="0.2">
      <c r="A12" s="251">
        <v>10</v>
      </c>
      <c r="B12" s="251" t="s">
        <v>1642</v>
      </c>
      <c r="C12" s="251" t="s">
        <v>3879</v>
      </c>
      <c r="D12" s="251" t="s">
        <v>2085</v>
      </c>
      <c r="E12" s="251" t="s">
        <v>1202</v>
      </c>
    </row>
    <row r="13" spans="1:5" x14ac:dyDescent="0.2">
      <c r="A13" s="250">
        <v>11</v>
      </c>
      <c r="B13" s="250" t="s">
        <v>3880</v>
      </c>
      <c r="C13" s="250" t="s">
        <v>3881</v>
      </c>
      <c r="D13" s="250" t="s">
        <v>2068</v>
      </c>
      <c r="E13" s="250" t="s">
        <v>1189</v>
      </c>
    </row>
    <row r="14" spans="1:5" x14ac:dyDescent="0.2">
      <c r="A14" s="251">
        <v>12</v>
      </c>
      <c r="B14" s="251" t="s">
        <v>3880</v>
      </c>
      <c r="C14" s="251" t="s">
        <v>3882</v>
      </c>
      <c r="D14" s="251" t="s">
        <v>2068</v>
      </c>
      <c r="E14" s="251" t="s">
        <v>1189</v>
      </c>
    </row>
    <row r="15" spans="1:5" x14ac:dyDescent="0.2">
      <c r="A15" s="250">
        <v>13</v>
      </c>
      <c r="B15" s="250" t="s">
        <v>3880</v>
      </c>
      <c r="C15" s="250" t="s">
        <v>3883</v>
      </c>
      <c r="D15" s="250" t="s">
        <v>2076</v>
      </c>
      <c r="E15" s="250" t="s">
        <v>1189</v>
      </c>
    </row>
    <row r="16" spans="1:5" x14ac:dyDescent="0.2">
      <c r="A16" s="251">
        <v>14</v>
      </c>
      <c r="B16" s="251" t="s">
        <v>3880</v>
      </c>
      <c r="C16" s="251" t="s">
        <v>3884</v>
      </c>
      <c r="D16" s="251" t="s">
        <v>2076</v>
      </c>
      <c r="E16" s="251" t="s">
        <v>1202</v>
      </c>
    </row>
    <row r="17" spans="1:5" x14ac:dyDescent="0.2">
      <c r="A17" s="250">
        <v>15</v>
      </c>
      <c r="B17" s="250" t="s">
        <v>3880</v>
      </c>
      <c r="C17" s="250" t="s">
        <v>3885</v>
      </c>
      <c r="D17" s="250" t="s">
        <v>2068</v>
      </c>
      <c r="E17" s="250" t="s">
        <v>1202</v>
      </c>
    </row>
    <row r="18" spans="1:5" x14ac:dyDescent="0.2">
      <c r="A18" s="251">
        <v>16</v>
      </c>
      <c r="B18" s="251" t="s">
        <v>3880</v>
      </c>
      <c r="C18" s="251" t="s">
        <v>3886</v>
      </c>
      <c r="D18" s="251" t="s">
        <v>2085</v>
      </c>
      <c r="E18" s="251" t="s">
        <v>1202</v>
      </c>
    </row>
    <row r="19" spans="1:5" x14ac:dyDescent="0.2">
      <c r="A19" s="250">
        <v>17</v>
      </c>
      <c r="B19" s="250" t="s">
        <v>3880</v>
      </c>
      <c r="C19" s="250" t="s">
        <v>3887</v>
      </c>
      <c r="D19" s="250" t="s">
        <v>2085</v>
      </c>
      <c r="E19" s="250" t="s">
        <v>1189</v>
      </c>
    </row>
    <row r="20" spans="1:5" x14ac:dyDescent="0.2">
      <c r="A20" s="251">
        <v>18</v>
      </c>
      <c r="B20" s="251" t="s">
        <v>3880</v>
      </c>
      <c r="C20" s="251" t="s">
        <v>3888</v>
      </c>
      <c r="D20" s="251" t="s">
        <v>2095</v>
      </c>
      <c r="E20" s="251" t="s">
        <v>3889</v>
      </c>
    </row>
    <row r="21" spans="1:5" x14ac:dyDescent="0.2">
      <c r="A21" s="250">
        <v>19</v>
      </c>
      <c r="B21" s="250" t="s">
        <v>3880</v>
      </c>
      <c r="C21" s="250" t="s">
        <v>3890</v>
      </c>
      <c r="D21" s="250" t="s">
        <v>2095</v>
      </c>
      <c r="E21" s="250" t="s">
        <v>1189</v>
      </c>
    </row>
    <row r="22" spans="1:5" x14ac:dyDescent="0.2">
      <c r="A22" s="251">
        <v>20</v>
      </c>
      <c r="B22" s="251" t="s">
        <v>3880</v>
      </c>
      <c r="C22" s="251" t="s">
        <v>3891</v>
      </c>
      <c r="D22" s="251" t="s">
        <v>2099</v>
      </c>
      <c r="E22" s="251" t="s">
        <v>1189</v>
      </c>
    </row>
    <row r="23" spans="1:5" x14ac:dyDescent="0.2">
      <c r="A23" s="250">
        <v>21</v>
      </c>
      <c r="B23" s="250" t="s">
        <v>3892</v>
      </c>
      <c r="C23" s="250" t="s">
        <v>3893</v>
      </c>
      <c r="D23" s="250" t="s">
        <v>2085</v>
      </c>
      <c r="E23" s="250" t="s">
        <v>1202</v>
      </c>
    </row>
    <row r="24" spans="1:5" x14ac:dyDescent="0.2">
      <c r="A24" s="251">
        <v>22</v>
      </c>
      <c r="B24" s="251" t="s">
        <v>3892</v>
      </c>
      <c r="C24" s="251" t="s">
        <v>3894</v>
      </c>
      <c r="D24" s="251" t="s">
        <v>2085</v>
      </c>
      <c r="E24" s="251" t="s">
        <v>1202</v>
      </c>
    </row>
    <row r="25" spans="1:5" x14ac:dyDescent="0.2">
      <c r="A25" s="250">
        <v>23</v>
      </c>
      <c r="B25" s="250" t="s">
        <v>3892</v>
      </c>
      <c r="C25" s="250" t="s">
        <v>3895</v>
      </c>
      <c r="D25" s="250" t="s">
        <v>2076</v>
      </c>
      <c r="E25" s="250" t="s">
        <v>1202</v>
      </c>
    </row>
    <row r="26" spans="1:5" x14ac:dyDescent="0.2">
      <c r="A26" s="251">
        <v>24</v>
      </c>
      <c r="B26" s="251" t="s">
        <v>3892</v>
      </c>
      <c r="C26" s="251" t="s">
        <v>3896</v>
      </c>
      <c r="D26" s="251" t="s">
        <v>2068</v>
      </c>
      <c r="E26" s="251" t="s">
        <v>1202</v>
      </c>
    </row>
    <row r="27" spans="1:5" x14ac:dyDescent="0.2">
      <c r="A27" s="250">
        <v>25</v>
      </c>
      <c r="B27" s="250" t="s">
        <v>3892</v>
      </c>
      <c r="C27" s="250" t="s">
        <v>3897</v>
      </c>
      <c r="D27" s="250" t="s">
        <v>2068</v>
      </c>
      <c r="E27" s="250" t="s">
        <v>1202</v>
      </c>
    </row>
    <row r="28" spans="1:5" x14ac:dyDescent="0.2">
      <c r="A28" s="251">
        <v>26</v>
      </c>
      <c r="B28" s="251" t="s">
        <v>3892</v>
      </c>
      <c r="C28" s="251" t="s">
        <v>3898</v>
      </c>
      <c r="D28" s="251" t="s">
        <v>2076</v>
      </c>
      <c r="E28" s="251" t="s">
        <v>1202</v>
      </c>
    </row>
    <row r="29" spans="1:5" x14ac:dyDescent="0.2">
      <c r="A29" s="250">
        <v>27</v>
      </c>
      <c r="B29" s="250" t="s">
        <v>3892</v>
      </c>
      <c r="C29" s="250" t="s">
        <v>3899</v>
      </c>
      <c r="D29" s="250" t="s">
        <v>2068</v>
      </c>
      <c r="E29" s="250" t="s">
        <v>1202</v>
      </c>
    </row>
    <row r="30" spans="1:5" x14ac:dyDescent="0.2">
      <c r="A30" s="251">
        <v>28</v>
      </c>
      <c r="B30" s="251" t="s">
        <v>3892</v>
      </c>
      <c r="C30" s="251" t="s">
        <v>3900</v>
      </c>
      <c r="D30" s="251" t="s">
        <v>2085</v>
      </c>
      <c r="E30" s="251" t="s">
        <v>1202</v>
      </c>
    </row>
    <row r="31" spans="1:5" x14ac:dyDescent="0.2">
      <c r="A31" s="250">
        <v>29</v>
      </c>
      <c r="B31" s="250" t="s">
        <v>3892</v>
      </c>
      <c r="C31" s="250" t="s">
        <v>3901</v>
      </c>
      <c r="D31" s="250" t="s">
        <v>2085</v>
      </c>
      <c r="E31" s="250" t="s">
        <v>1202</v>
      </c>
    </row>
    <row r="32" spans="1:5" x14ac:dyDescent="0.2">
      <c r="A32" s="251">
        <v>30</v>
      </c>
      <c r="B32" s="251" t="s">
        <v>3892</v>
      </c>
      <c r="C32" s="251" t="s">
        <v>3902</v>
      </c>
      <c r="D32" s="251" t="s">
        <v>2068</v>
      </c>
      <c r="E32" s="251" t="s">
        <v>1202</v>
      </c>
    </row>
    <row r="33" spans="1:5" x14ac:dyDescent="0.2">
      <c r="A33" s="250">
        <v>31</v>
      </c>
      <c r="B33" s="250" t="s">
        <v>3892</v>
      </c>
      <c r="C33" s="250" t="s">
        <v>3903</v>
      </c>
      <c r="D33" s="250" t="s">
        <v>2068</v>
      </c>
      <c r="E33" s="250" t="s">
        <v>2687</v>
      </c>
    </row>
    <row r="34" spans="1:5" x14ac:dyDescent="0.2">
      <c r="A34" s="251">
        <v>32</v>
      </c>
      <c r="B34" s="251" t="s">
        <v>3892</v>
      </c>
      <c r="C34" s="251" t="s">
        <v>3904</v>
      </c>
      <c r="D34" s="251" t="s">
        <v>2085</v>
      </c>
      <c r="E34" s="251" t="s">
        <v>1202</v>
      </c>
    </row>
    <row r="35" spans="1:5" x14ac:dyDescent="0.2">
      <c r="A35" s="250">
        <v>33</v>
      </c>
      <c r="B35" s="250" t="s">
        <v>3892</v>
      </c>
      <c r="C35" s="250" t="s">
        <v>3905</v>
      </c>
      <c r="D35" s="250" t="s">
        <v>2095</v>
      </c>
      <c r="E35" s="250" t="s">
        <v>1202</v>
      </c>
    </row>
    <row r="36" spans="1:5" x14ac:dyDescent="0.2">
      <c r="A36" s="251">
        <v>34</v>
      </c>
      <c r="B36" s="251" t="s">
        <v>3892</v>
      </c>
      <c r="C36" s="251" t="s">
        <v>3906</v>
      </c>
      <c r="D36" s="251" t="s">
        <v>2099</v>
      </c>
      <c r="E36" s="251" t="s">
        <v>1202</v>
      </c>
    </row>
    <row r="37" spans="1:5" x14ac:dyDescent="0.2">
      <c r="A37" s="250">
        <v>35</v>
      </c>
      <c r="B37" s="250" t="s">
        <v>3907</v>
      </c>
      <c r="C37" s="250" t="s">
        <v>3908</v>
      </c>
      <c r="D37" s="250" t="s">
        <v>2068</v>
      </c>
      <c r="E37" s="250" t="s">
        <v>1202</v>
      </c>
    </row>
    <row r="38" spans="1:5" x14ac:dyDescent="0.2">
      <c r="A38" s="251">
        <v>36</v>
      </c>
      <c r="B38" s="251" t="s">
        <v>3907</v>
      </c>
      <c r="C38" s="251" t="s">
        <v>3909</v>
      </c>
      <c r="D38" s="251" t="s">
        <v>2068</v>
      </c>
      <c r="E38" s="251" t="s">
        <v>1202</v>
      </c>
    </row>
    <row r="39" spans="1:5" x14ac:dyDescent="0.2">
      <c r="A39" s="250">
        <v>37</v>
      </c>
      <c r="B39" s="250" t="s">
        <v>3907</v>
      </c>
      <c r="C39" s="250" t="s">
        <v>3910</v>
      </c>
      <c r="D39" s="250" t="s">
        <v>2076</v>
      </c>
      <c r="E39" s="250" t="s">
        <v>2687</v>
      </c>
    </row>
    <row r="40" spans="1:5" x14ac:dyDescent="0.2">
      <c r="A40" s="251">
        <v>38</v>
      </c>
      <c r="B40" s="251" t="s">
        <v>3907</v>
      </c>
      <c r="C40" s="251" t="s">
        <v>3911</v>
      </c>
      <c r="D40" s="251" t="s">
        <v>2076</v>
      </c>
      <c r="E40" s="251" t="s">
        <v>2687</v>
      </c>
    </row>
    <row r="41" spans="1:5" x14ac:dyDescent="0.2">
      <c r="A41" s="250">
        <v>39</v>
      </c>
      <c r="B41" s="250" t="s">
        <v>3907</v>
      </c>
      <c r="C41" s="250" t="s">
        <v>3912</v>
      </c>
      <c r="D41" s="250" t="s">
        <v>2085</v>
      </c>
      <c r="E41" s="250" t="s">
        <v>2687</v>
      </c>
    </row>
    <row r="42" spans="1:5" x14ac:dyDescent="0.2">
      <c r="A42" s="251">
        <v>40</v>
      </c>
      <c r="B42" s="251" t="s">
        <v>3907</v>
      </c>
      <c r="C42" s="251" t="s">
        <v>3913</v>
      </c>
      <c r="D42" s="251" t="s">
        <v>2085</v>
      </c>
      <c r="E42" s="251" t="s">
        <v>1202</v>
      </c>
    </row>
    <row r="43" spans="1:5" x14ac:dyDescent="0.2">
      <c r="A43" s="250">
        <v>41</v>
      </c>
      <c r="B43" s="250" t="s">
        <v>3907</v>
      </c>
      <c r="C43" s="250" t="s">
        <v>3914</v>
      </c>
      <c r="D43" s="250" t="s">
        <v>2076</v>
      </c>
      <c r="E43" s="250" t="s">
        <v>2687</v>
      </c>
    </row>
    <row r="44" spans="1:5" x14ac:dyDescent="0.2">
      <c r="A44" s="251">
        <v>42</v>
      </c>
      <c r="B44" s="251" t="s">
        <v>3907</v>
      </c>
      <c r="C44" s="251" t="s">
        <v>3915</v>
      </c>
      <c r="D44" s="251" t="s">
        <v>2068</v>
      </c>
      <c r="E44" s="251" t="s">
        <v>1202</v>
      </c>
    </row>
    <row r="45" spans="1:5" x14ac:dyDescent="0.2">
      <c r="A45" s="250">
        <v>43</v>
      </c>
      <c r="B45" s="250" t="s">
        <v>3907</v>
      </c>
      <c r="C45" s="250" t="s">
        <v>3916</v>
      </c>
      <c r="D45" s="250" t="s">
        <v>2085</v>
      </c>
      <c r="E45" s="250" t="s">
        <v>1202</v>
      </c>
    </row>
    <row r="46" spans="1:5" x14ac:dyDescent="0.2">
      <c r="A46" s="251">
        <v>44</v>
      </c>
      <c r="B46" s="251" t="s">
        <v>3907</v>
      </c>
      <c r="C46" s="251" t="s">
        <v>3917</v>
      </c>
      <c r="D46" s="251" t="s">
        <v>2095</v>
      </c>
      <c r="E46" s="251" t="s">
        <v>2687</v>
      </c>
    </row>
    <row r="47" spans="1:5" x14ac:dyDescent="0.2">
      <c r="A47" s="250">
        <v>45</v>
      </c>
      <c r="B47" s="250" t="s">
        <v>3918</v>
      </c>
      <c r="C47" s="250" t="s">
        <v>3919</v>
      </c>
      <c r="D47" s="250" t="s">
        <v>2068</v>
      </c>
      <c r="E47" s="250" t="s">
        <v>1202</v>
      </c>
    </row>
    <row r="48" spans="1:5" x14ac:dyDescent="0.2">
      <c r="A48" s="251">
        <v>46</v>
      </c>
      <c r="B48" s="251" t="s">
        <v>3918</v>
      </c>
      <c r="C48" s="251" t="s">
        <v>909</v>
      </c>
      <c r="D48" s="251" t="s">
        <v>2076</v>
      </c>
      <c r="E48" s="251" t="s">
        <v>1202</v>
      </c>
    </row>
    <row r="49" spans="1:5" x14ac:dyDescent="0.2">
      <c r="A49" s="250">
        <v>47</v>
      </c>
      <c r="B49" s="250" t="s">
        <v>3918</v>
      </c>
      <c r="C49" s="250" t="s">
        <v>3920</v>
      </c>
      <c r="D49" s="250" t="s">
        <v>2076</v>
      </c>
      <c r="E49" s="250" t="s">
        <v>1202</v>
      </c>
    </row>
    <row r="50" spans="1:5" x14ac:dyDescent="0.2">
      <c r="A50" s="251">
        <v>48</v>
      </c>
      <c r="B50" s="251" t="s">
        <v>3918</v>
      </c>
      <c r="C50" s="251" t="s">
        <v>3921</v>
      </c>
      <c r="D50" s="251" t="s">
        <v>2068</v>
      </c>
      <c r="E50" s="251" t="s">
        <v>1202</v>
      </c>
    </row>
    <row r="51" spans="1:5" x14ac:dyDescent="0.2">
      <c r="A51" s="250">
        <v>49</v>
      </c>
      <c r="B51" s="250" t="s">
        <v>3918</v>
      </c>
      <c r="C51" s="250" t="s">
        <v>3922</v>
      </c>
      <c r="D51" s="250" t="s">
        <v>2068</v>
      </c>
      <c r="E51" s="250" t="s">
        <v>1202</v>
      </c>
    </row>
    <row r="52" spans="1:5" x14ac:dyDescent="0.2">
      <c r="A52" s="251">
        <v>50</v>
      </c>
      <c r="B52" s="251" t="s">
        <v>3918</v>
      </c>
      <c r="C52" s="251" t="s">
        <v>3923</v>
      </c>
      <c r="D52" s="251" t="s">
        <v>2085</v>
      </c>
      <c r="E52" s="251" t="s">
        <v>1202</v>
      </c>
    </row>
    <row r="53" spans="1:5" x14ac:dyDescent="0.2">
      <c r="A53" s="250">
        <v>51</v>
      </c>
      <c r="B53" s="250" t="s">
        <v>3918</v>
      </c>
      <c r="C53" s="250" t="s">
        <v>3924</v>
      </c>
      <c r="D53" s="250" t="s">
        <v>2085</v>
      </c>
      <c r="E53" s="250" t="s">
        <v>1202</v>
      </c>
    </row>
    <row r="54" spans="1:5" x14ac:dyDescent="0.2">
      <c r="A54" s="251">
        <v>52</v>
      </c>
      <c r="B54" s="251" t="s">
        <v>3918</v>
      </c>
      <c r="C54" s="251" t="s">
        <v>3925</v>
      </c>
      <c r="D54" s="251" t="s">
        <v>2076</v>
      </c>
      <c r="E54" s="251" t="s">
        <v>1202</v>
      </c>
    </row>
    <row r="55" spans="1:5" x14ac:dyDescent="0.2">
      <c r="A55" s="250">
        <v>53</v>
      </c>
      <c r="B55" s="250" t="s">
        <v>3918</v>
      </c>
      <c r="C55" s="250" t="s">
        <v>3926</v>
      </c>
      <c r="D55" s="250" t="s">
        <v>2076</v>
      </c>
      <c r="E55" s="250" t="s">
        <v>2687</v>
      </c>
    </row>
    <row r="56" spans="1:5" x14ac:dyDescent="0.2">
      <c r="A56" s="251">
        <v>54</v>
      </c>
      <c r="B56" s="251" t="s">
        <v>3918</v>
      </c>
      <c r="C56" s="251" t="s">
        <v>3927</v>
      </c>
      <c r="D56" s="251" t="s">
        <v>2068</v>
      </c>
      <c r="E56" s="251" t="s">
        <v>1202</v>
      </c>
    </row>
    <row r="57" spans="1:5" x14ac:dyDescent="0.2">
      <c r="A57" s="250">
        <v>55</v>
      </c>
      <c r="B57" s="250" t="s">
        <v>3918</v>
      </c>
      <c r="C57" s="250" t="s">
        <v>3928</v>
      </c>
      <c r="D57" s="250" t="s">
        <v>2068</v>
      </c>
      <c r="E57" s="250" t="s">
        <v>1202</v>
      </c>
    </row>
    <row r="58" spans="1:5" x14ac:dyDescent="0.2">
      <c r="A58" s="251">
        <v>56</v>
      </c>
      <c r="B58" s="251" t="s">
        <v>3918</v>
      </c>
      <c r="C58" s="251" t="s">
        <v>3929</v>
      </c>
      <c r="D58" s="251" t="s">
        <v>2076</v>
      </c>
      <c r="E58" s="251" t="s">
        <v>1202</v>
      </c>
    </row>
    <row r="59" spans="1:5" x14ac:dyDescent="0.2">
      <c r="A59" s="250">
        <v>57</v>
      </c>
      <c r="B59" s="250" t="s">
        <v>3918</v>
      </c>
      <c r="C59" s="250" t="s">
        <v>3930</v>
      </c>
      <c r="D59" s="250" t="s">
        <v>2085</v>
      </c>
      <c r="E59" s="250" t="s">
        <v>1202</v>
      </c>
    </row>
    <row r="60" spans="1:5" x14ac:dyDescent="0.2">
      <c r="A60" s="251">
        <v>58</v>
      </c>
      <c r="B60" s="251" t="s">
        <v>3918</v>
      </c>
      <c r="C60" s="251" t="s">
        <v>3931</v>
      </c>
      <c r="D60" s="251" t="s">
        <v>2095</v>
      </c>
      <c r="E60" s="251" t="s">
        <v>1202</v>
      </c>
    </row>
    <row r="61" spans="1:5" x14ac:dyDescent="0.2">
      <c r="A61" s="250">
        <v>59</v>
      </c>
      <c r="B61" s="250" t="s">
        <v>3918</v>
      </c>
      <c r="C61" s="250" t="s">
        <v>3932</v>
      </c>
      <c r="D61" s="250" t="s">
        <v>2099</v>
      </c>
      <c r="E61" s="250" t="s">
        <v>2373</v>
      </c>
    </row>
    <row r="62" spans="1:5" x14ac:dyDescent="0.2">
      <c r="A62" s="251">
        <v>60</v>
      </c>
      <c r="B62" s="251" t="s">
        <v>3933</v>
      </c>
      <c r="C62" s="251" t="s">
        <v>3934</v>
      </c>
      <c r="D62" s="251" t="s">
        <v>2068</v>
      </c>
      <c r="E62" s="251" t="s">
        <v>1202</v>
      </c>
    </row>
    <row r="63" spans="1:5" x14ac:dyDescent="0.2">
      <c r="A63" s="250">
        <v>61</v>
      </c>
      <c r="B63" s="250" t="s">
        <v>3933</v>
      </c>
      <c r="C63" s="250" t="s">
        <v>3935</v>
      </c>
      <c r="D63" s="250" t="s">
        <v>2076</v>
      </c>
      <c r="E63" s="250" t="s">
        <v>1202</v>
      </c>
    </row>
    <row r="64" spans="1:5" x14ac:dyDescent="0.2">
      <c r="A64" s="251">
        <v>62</v>
      </c>
      <c r="B64" s="251" t="s">
        <v>3933</v>
      </c>
      <c r="C64" s="251" t="s">
        <v>3936</v>
      </c>
      <c r="D64" s="251" t="s">
        <v>2085</v>
      </c>
      <c r="E64" s="251" t="s">
        <v>1202</v>
      </c>
    </row>
    <row r="65" spans="1:5" x14ac:dyDescent="0.2">
      <c r="A65" s="250">
        <v>63</v>
      </c>
      <c r="B65" s="250" t="s">
        <v>3933</v>
      </c>
      <c r="C65" s="250" t="s">
        <v>3937</v>
      </c>
      <c r="D65" s="250" t="s">
        <v>2085</v>
      </c>
      <c r="E65" s="250" t="s">
        <v>1202</v>
      </c>
    </row>
    <row r="66" spans="1:5" x14ac:dyDescent="0.2">
      <c r="A66" s="251">
        <v>64</v>
      </c>
      <c r="B66" s="251" t="s">
        <v>3933</v>
      </c>
      <c r="C66" s="251" t="s">
        <v>3938</v>
      </c>
      <c r="D66" s="251" t="s">
        <v>2076</v>
      </c>
      <c r="E66" s="251" t="s">
        <v>1202</v>
      </c>
    </row>
    <row r="67" spans="1:5" x14ac:dyDescent="0.2">
      <c r="A67" s="250">
        <v>65</v>
      </c>
      <c r="B67" s="250" t="s">
        <v>3933</v>
      </c>
      <c r="C67" s="250" t="s">
        <v>3939</v>
      </c>
      <c r="D67" s="250" t="s">
        <v>2068</v>
      </c>
      <c r="E67" s="250" t="s">
        <v>1202</v>
      </c>
    </row>
    <row r="68" spans="1:5" x14ac:dyDescent="0.2">
      <c r="A68" s="251">
        <v>66</v>
      </c>
      <c r="B68" s="251" t="s">
        <v>3933</v>
      </c>
      <c r="C68" s="251" t="s">
        <v>3940</v>
      </c>
      <c r="D68" s="251" t="s">
        <v>2095</v>
      </c>
      <c r="E68" s="251" t="s">
        <v>1202</v>
      </c>
    </row>
    <row r="69" spans="1:5" x14ac:dyDescent="0.2">
      <c r="A69" s="250">
        <v>67</v>
      </c>
      <c r="B69" s="250" t="s">
        <v>3933</v>
      </c>
      <c r="C69" s="250" t="s">
        <v>3941</v>
      </c>
      <c r="D69" s="250" t="s">
        <v>2076</v>
      </c>
      <c r="E69" s="250" t="s">
        <v>2687</v>
      </c>
    </row>
    <row r="70" spans="1:5" x14ac:dyDescent="0.2">
      <c r="A70" s="251">
        <v>68</v>
      </c>
      <c r="B70" s="251" t="s">
        <v>3933</v>
      </c>
      <c r="C70" s="251" t="s">
        <v>3942</v>
      </c>
      <c r="D70" s="251" t="s">
        <v>2085</v>
      </c>
      <c r="E70" s="251" t="s">
        <v>2687</v>
      </c>
    </row>
    <row r="71" spans="1:5" x14ac:dyDescent="0.2">
      <c r="A71" s="250">
        <v>69</v>
      </c>
      <c r="B71" s="250" t="s">
        <v>3933</v>
      </c>
      <c r="C71" s="250" t="s">
        <v>3943</v>
      </c>
      <c r="D71" s="250" t="s">
        <v>2095</v>
      </c>
      <c r="E71" s="250" t="s">
        <v>2373</v>
      </c>
    </row>
    <row r="72" spans="1:5" x14ac:dyDescent="0.2">
      <c r="A72" s="251">
        <v>70</v>
      </c>
      <c r="B72" s="251" t="s">
        <v>3933</v>
      </c>
      <c r="C72" s="251" t="s">
        <v>3944</v>
      </c>
      <c r="D72" s="251" t="s">
        <v>2099</v>
      </c>
      <c r="E72" s="251" t="s">
        <v>1202</v>
      </c>
    </row>
    <row r="73" spans="1:5" x14ac:dyDescent="0.2">
      <c r="A73" s="250">
        <v>71</v>
      </c>
      <c r="B73" s="250" t="s">
        <v>3933</v>
      </c>
      <c r="C73" s="250" t="s">
        <v>3945</v>
      </c>
      <c r="D73" s="250" t="s">
        <v>2068</v>
      </c>
      <c r="E73" s="250" t="s">
        <v>1202</v>
      </c>
    </row>
    <row r="74" spans="1:5" x14ac:dyDescent="0.2">
      <c r="A74" s="251">
        <v>72</v>
      </c>
      <c r="B74" s="251" t="s">
        <v>3946</v>
      </c>
      <c r="C74" s="251" t="s">
        <v>3947</v>
      </c>
      <c r="D74" s="251" t="s">
        <v>2076</v>
      </c>
      <c r="E74" s="251" t="s">
        <v>1202</v>
      </c>
    </row>
    <row r="75" spans="1:5" x14ac:dyDescent="0.2">
      <c r="A75" s="250">
        <v>73</v>
      </c>
      <c r="B75" s="250" t="s">
        <v>3946</v>
      </c>
      <c r="C75" s="250" t="s">
        <v>3948</v>
      </c>
      <c r="D75" s="250" t="s">
        <v>2085</v>
      </c>
      <c r="E75" s="250" t="s">
        <v>2373</v>
      </c>
    </row>
    <row r="76" spans="1:5" x14ac:dyDescent="0.2">
      <c r="A76" s="251">
        <v>74</v>
      </c>
      <c r="B76" s="251" t="s">
        <v>3946</v>
      </c>
      <c r="C76" s="251" t="s">
        <v>3949</v>
      </c>
      <c r="D76" s="251" t="s">
        <v>2085</v>
      </c>
      <c r="E76" s="251" t="s">
        <v>2373</v>
      </c>
    </row>
    <row r="77" spans="1:5" x14ac:dyDescent="0.2">
      <c r="A77" s="250">
        <v>75</v>
      </c>
      <c r="B77" s="250" t="s">
        <v>3946</v>
      </c>
      <c r="C77" s="250" t="s">
        <v>3950</v>
      </c>
      <c r="D77" s="250" t="s">
        <v>2076</v>
      </c>
      <c r="E77" s="250" t="s">
        <v>2373</v>
      </c>
    </row>
    <row r="78" spans="1:5" x14ac:dyDescent="0.2">
      <c r="A78" s="251">
        <v>76</v>
      </c>
      <c r="B78" s="251" t="s">
        <v>3946</v>
      </c>
      <c r="C78" s="251" t="s">
        <v>3951</v>
      </c>
      <c r="D78" s="251" t="s">
        <v>2085</v>
      </c>
      <c r="E78" s="251" t="s">
        <v>2373</v>
      </c>
    </row>
    <row r="79" spans="1:5" x14ac:dyDescent="0.2">
      <c r="A79" s="250">
        <v>77</v>
      </c>
      <c r="B79" s="250" t="s">
        <v>3946</v>
      </c>
      <c r="C79" s="250" t="s">
        <v>3952</v>
      </c>
      <c r="D79" s="250" t="s">
        <v>2095</v>
      </c>
      <c r="E79" s="250" t="s">
        <v>2373</v>
      </c>
    </row>
    <row r="80" spans="1:5" x14ac:dyDescent="0.2">
      <c r="A80" s="251">
        <v>78</v>
      </c>
      <c r="B80" s="251" t="s">
        <v>3946</v>
      </c>
      <c r="C80" s="251" t="s">
        <v>3953</v>
      </c>
      <c r="D80" s="251" t="s">
        <v>2095</v>
      </c>
      <c r="E80" s="251" t="s">
        <v>2373</v>
      </c>
    </row>
    <row r="81" spans="1:5" x14ac:dyDescent="0.2">
      <c r="A81" s="250">
        <v>79</v>
      </c>
      <c r="B81" s="250" t="s">
        <v>3946</v>
      </c>
      <c r="C81" s="250" t="s">
        <v>3954</v>
      </c>
      <c r="D81" s="250" t="s">
        <v>2095</v>
      </c>
      <c r="E81" s="250" t="s">
        <v>2373</v>
      </c>
    </row>
    <row r="82" spans="1:5" x14ac:dyDescent="0.2">
      <c r="A82" s="251">
        <v>80</v>
      </c>
      <c r="B82" s="251" t="s">
        <v>3946</v>
      </c>
      <c r="C82" s="251" t="s">
        <v>3955</v>
      </c>
      <c r="D82" s="251" t="s">
        <v>2099</v>
      </c>
      <c r="E82" s="251" t="s">
        <v>2373</v>
      </c>
    </row>
    <row r="83" spans="1:5" x14ac:dyDescent="0.2">
      <c r="A83" s="250">
        <v>81</v>
      </c>
      <c r="B83" s="250" t="s">
        <v>3946</v>
      </c>
      <c r="C83" s="250" t="s">
        <v>3956</v>
      </c>
      <c r="D83" s="250" t="s">
        <v>2085</v>
      </c>
      <c r="E83" s="250" t="s">
        <v>2373</v>
      </c>
    </row>
    <row r="84" spans="1:5" x14ac:dyDescent="0.2">
      <c r="A84" s="251">
        <v>82</v>
      </c>
      <c r="B84" s="251" t="s">
        <v>3946</v>
      </c>
      <c r="C84" s="251" t="s">
        <v>3957</v>
      </c>
      <c r="D84" s="251" t="s">
        <v>2076</v>
      </c>
      <c r="E84" s="251" t="s">
        <v>2373</v>
      </c>
    </row>
    <row r="85" spans="1:5" x14ac:dyDescent="0.2">
      <c r="A85" s="250">
        <v>83</v>
      </c>
      <c r="B85" s="250" t="s">
        <v>3946</v>
      </c>
      <c r="C85" s="250" t="s">
        <v>3958</v>
      </c>
      <c r="D85" s="250" t="s">
        <v>2099</v>
      </c>
      <c r="E85" s="250" t="s">
        <v>2373</v>
      </c>
    </row>
    <row r="86" spans="1:5" x14ac:dyDescent="0.2">
      <c r="A86" s="251">
        <v>84</v>
      </c>
      <c r="B86" s="251" t="s">
        <v>3959</v>
      </c>
      <c r="C86" s="251" t="s">
        <v>3960</v>
      </c>
      <c r="D86" s="251" t="s">
        <v>2068</v>
      </c>
      <c r="E86" s="251" t="s">
        <v>1202</v>
      </c>
    </row>
    <row r="87" spans="1:5" x14ac:dyDescent="0.2">
      <c r="A87" s="250">
        <v>85</v>
      </c>
      <c r="B87" s="250" t="s">
        <v>3959</v>
      </c>
      <c r="C87" s="250" t="s">
        <v>3961</v>
      </c>
      <c r="D87" s="250" t="s">
        <v>2076</v>
      </c>
      <c r="E87" s="250" t="s">
        <v>1202</v>
      </c>
    </row>
    <row r="88" spans="1:5" x14ac:dyDescent="0.2">
      <c r="A88" s="251">
        <v>86</v>
      </c>
      <c r="B88" s="251" t="s">
        <v>3959</v>
      </c>
      <c r="C88" s="251" t="s">
        <v>3962</v>
      </c>
      <c r="D88" s="251" t="s">
        <v>2076</v>
      </c>
      <c r="E88" s="251" t="s">
        <v>1202</v>
      </c>
    </row>
    <row r="89" spans="1:5" x14ac:dyDescent="0.2">
      <c r="A89" s="250">
        <v>87</v>
      </c>
      <c r="B89" s="250" t="s">
        <v>3959</v>
      </c>
      <c r="C89" s="250" t="s">
        <v>3963</v>
      </c>
      <c r="D89" s="250" t="s">
        <v>2085</v>
      </c>
      <c r="E89" s="250" t="s">
        <v>1202</v>
      </c>
    </row>
    <row r="90" spans="1:5" x14ac:dyDescent="0.2">
      <c r="A90" s="251">
        <v>88</v>
      </c>
      <c r="B90" s="251" t="s">
        <v>3959</v>
      </c>
      <c r="C90" s="251" t="s">
        <v>3964</v>
      </c>
      <c r="D90" s="251" t="s">
        <v>2085</v>
      </c>
      <c r="E90" s="251" t="s">
        <v>1202</v>
      </c>
    </row>
    <row r="91" spans="1:5" x14ac:dyDescent="0.2">
      <c r="A91" s="250">
        <v>89</v>
      </c>
      <c r="B91" s="250" t="s">
        <v>3959</v>
      </c>
      <c r="C91" s="250" t="s">
        <v>3965</v>
      </c>
      <c r="D91" s="250" t="s">
        <v>2076</v>
      </c>
      <c r="E91" s="250" t="s">
        <v>1202</v>
      </c>
    </row>
    <row r="92" spans="1:5" x14ac:dyDescent="0.2">
      <c r="A92" s="251">
        <v>90</v>
      </c>
      <c r="B92" s="251" t="s">
        <v>3959</v>
      </c>
      <c r="C92" s="251" t="s">
        <v>3966</v>
      </c>
      <c r="D92" s="251" t="s">
        <v>2068</v>
      </c>
      <c r="E92" s="251" t="s">
        <v>1202</v>
      </c>
    </row>
    <row r="93" spans="1:5" x14ac:dyDescent="0.2">
      <c r="A93" s="250">
        <v>91</v>
      </c>
      <c r="B93" s="250" t="s">
        <v>3959</v>
      </c>
      <c r="C93" s="250" t="s">
        <v>3967</v>
      </c>
      <c r="D93" s="250" t="s">
        <v>2095</v>
      </c>
      <c r="E93" s="250" t="s">
        <v>1202</v>
      </c>
    </row>
    <row r="94" spans="1:5" x14ac:dyDescent="0.2">
      <c r="A94" s="251">
        <v>92</v>
      </c>
      <c r="B94" s="251" t="s">
        <v>3959</v>
      </c>
      <c r="C94" s="251" t="s">
        <v>3968</v>
      </c>
      <c r="D94" s="251" t="s">
        <v>2085</v>
      </c>
      <c r="E94" s="251" t="s">
        <v>1202</v>
      </c>
    </row>
    <row r="95" spans="1:5" x14ac:dyDescent="0.2">
      <c r="A95" s="250">
        <v>93</v>
      </c>
      <c r="B95" s="250" t="s">
        <v>3959</v>
      </c>
      <c r="C95" s="250" t="s">
        <v>3969</v>
      </c>
      <c r="D95" s="250" t="s">
        <v>2076</v>
      </c>
      <c r="E95" s="250" t="s">
        <v>1202</v>
      </c>
    </row>
    <row r="96" spans="1:5" x14ac:dyDescent="0.2">
      <c r="A96" s="251">
        <v>94</v>
      </c>
      <c r="B96" s="251" t="s">
        <v>3959</v>
      </c>
      <c r="C96" s="251" t="s">
        <v>3970</v>
      </c>
      <c r="D96" s="251" t="s">
        <v>2085</v>
      </c>
      <c r="E96" s="251" t="s">
        <v>1202</v>
      </c>
    </row>
    <row r="97" spans="1:5" x14ac:dyDescent="0.2">
      <c r="A97" s="250">
        <v>95</v>
      </c>
      <c r="B97" s="250" t="s">
        <v>3959</v>
      </c>
      <c r="C97" s="250" t="s">
        <v>3971</v>
      </c>
      <c r="D97" s="250" t="s">
        <v>2095</v>
      </c>
      <c r="E97" s="250" t="s">
        <v>1202</v>
      </c>
    </row>
    <row r="98" spans="1:5" x14ac:dyDescent="0.2">
      <c r="A98" s="251">
        <v>96</v>
      </c>
      <c r="B98" s="251" t="s">
        <v>3972</v>
      </c>
      <c r="C98" s="251" t="s">
        <v>3973</v>
      </c>
      <c r="D98" s="251" t="s">
        <v>2085</v>
      </c>
      <c r="E98" s="251" t="s">
        <v>1202</v>
      </c>
    </row>
    <row r="99" spans="1:5" x14ac:dyDescent="0.2">
      <c r="A99" s="250">
        <v>97</v>
      </c>
      <c r="B99" s="250" t="s">
        <v>3972</v>
      </c>
      <c r="C99" s="250" t="s">
        <v>3974</v>
      </c>
      <c r="D99" s="250" t="s">
        <v>2076</v>
      </c>
      <c r="E99" s="250" t="s">
        <v>1202</v>
      </c>
    </row>
    <row r="100" spans="1:5" x14ac:dyDescent="0.2">
      <c r="A100" s="251">
        <v>98</v>
      </c>
      <c r="B100" s="251" t="s">
        <v>3972</v>
      </c>
      <c r="C100" s="251" t="s">
        <v>3975</v>
      </c>
      <c r="D100" s="251" t="s">
        <v>2085</v>
      </c>
      <c r="E100" s="251" t="s">
        <v>1202</v>
      </c>
    </row>
    <row r="101" spans="1:5" x14ac:dyDescent="0.2">
      <c r="A101" s="250">
        <v>99</v>
      </c>
      <c r="B101" s="250" t="s">
        <v>3972</v>
      </c>
      <c r="C101" s="250" t="s">
        <v>3976</v>
      </c>
      <c r="D101" s="250" t="s">
        <v>2076</v>
      </c>
      <c r="E101" s="250" t="s">
        <v>1202</v>
      </c>
    </row>
    <row r="102" spans="1:5" x14ac:dyDescent="0.2">
      <c r="A102" s="251">
        <v>100</v>
      </c>
      <c r="B102" s="251" t="s">
        <v>3972</v>
      </c>
      <c r="C102" s="251" t="s">
        <v>3977</v>
      </c>
      <c r="D102" s="251" t="s">
        <v>2095</v>
      </c>
      <c r="E102" s="251" t="s">
        <v>1202</v>
      </c>
    </row>
    <row r="103" spans="1:5" x14ac:dyDescent="0.2">
      <c r="A103" s="250">
        <v>101</v>
      </c>
      <c r="B103" s="250" t="s">
        <v>3972</v>
      </c>
      <c r="C103" s="250" t="s">
        <v>3978</v>
      </c>
      <c r="D103" s="250" t="s">
        <v>2095</v>
      </c>
      <c r="E103" s="250" t="s">
        <v>1202</v>
      </c>
    </row>
    <row r="104" spans="1:5" x14ac:dyDescent="0.2">
      <c r="A104" s="251">
        <v>102</v>
      </c>
      <c r="B104" s="251" t="s">
        <v>3972</v>
      </c>
      <c r="C104" s="251" t="s">
        <v>3979</v>
      </c>
      <c r="D104" s="251" t="s">
        <v>2085</v>
      </c>
      <c r="E104" s="251" t="s">
        <v>1202</v>
      </c>
    </row>
    <row r="105" spans="1:5" x14ac:dyDescent="0.2">
      <c r="A105" s="250">
        <v>103</v>
      </c>
      <c r="B105" s="250" t="s">
        <v>3972</v>
      </c>
      <c r="C105" s="250" t="s">
        <v>3980</v>
      </c>
      <c r="D105" s="250" t="s">
        <v>2068</v>
      </c>
      <c r="E105" s="250" t="s">
        <v>1202</v>
      </c>
    </row>
    <row r="106" spans="1:5" x14ac:dyDescent="0.2">
      <c r="A106" s="251">
        <v>104</v>
      </c>
      <c r="B106" s="251" t="s">
        <v>3972</v>
      </c>
      <c r="C106" s="251" t="s">
        <v>3981</v>
      </c>
      <c r="D106" s="251" t="s">
        <v>2076</v>
      </c>
      <c r="E106" s="251" t="s">
        <v>1202</v>
      </c>
    </row>
    <row r="107" spans="1:5" x14ac:dyDescent="0.2">
      <c r="A107" s="250">
        <v>105</v>
      </c>
      <c r="B107" s="250" t="s">
        <v>3972</v>
      </c>
      <c r="C107" s="250" t="s">
        <v>3982</v>
      </c>
      <c r="D107" s="250" t="s">
        <v>2068</v>
      </c>
      <c r="E107" s="250" t="s">
        <v>1202</v>
      </c>
    </row>
    <row r="108" spans="1:5" x14ac:dyDescent="0.2">
      <c r="A108" s="251">
        <v>106</v>
      </c>
      <c r="B108" s="251" t="s">
        <v>3972</v>
      </c>
      <c r="C108" s="251" t="s">
        <v>3983</v>
      </c>
      <c r="D108" s="251" t="s">
        <v>2085</v>
      </c>
      <c r="E108" s="251" t="s">
        <v>1189</v>
      </c>
    </row>
    <row r="109" spans="1:5" x14ac:dyDescent="0.2">
      <c r="A109" s="250">
        <v>107</v>
      </c>
      <c r="B109" s="250" t="s">
        <v>3972</v>
      </c>
      <c r="C109" s="250" t="s">
        <v>3984</v>
      </c>
      <c r="D109" s="250" t="s">
        <v>2095</v>
      </c>
      <c r="E109" s="250" t="s">
        <v>1202</v>
      </c>
    </row>
    <row r="110" spans="1:5" x14ac:dyDescent="0.2">
      <c r="A110" s="251">
        <v>108</v>
      </c>
      <c r="B110" s="251" t="s">
        <v>3972</v>
      </c>
      <c r="C110" s="251" t="s">
        <v>3985</v>
      </c>
      <c r="D110" s="251" t="s">
        <v>2099</v>
      </c>
      <c r="E110" s="251" t="s">
        <v>2373</v>
      </c>
    </row>
    <row r="111" spans="1:5" x14ac:dyDescent="0.2">
      <c r="A111" s="250">
        <v>109</v>
      </c>
      <c r="B111" s="250" t="s">
        <v>2675</v>
      </c>
      <c r="C111" s="250" t="s">
        <v>3986</v>
      </c>
      <c r="D111" s="250" t="s">
        <v>2076</v>
      </c>
      <c r="E111" s="250" t="s">
        <v>1202</v>
      </c>
    </row>
    <row r="112" spans="1:5" x14ac:dyDescent="0.2">
      <c r="A112" s="251">
        <v>110</v>
      </c>
      <c r="B112" s="251" t="s">
        <v>2675</v>
      </c>
      <c r="C112" s="251" t="s">
        <v>3987</v>
      </c>
      <c r="D112" s="251" t="s">
        <v>2085</v>
      </c>
      <c r="E112" s="251" t="s">
        <v>2373</v>
      </c>
    </row>
    <row r="113" spans="1:5" x14ac:dyDescent="0.2">
      <c r="A113" s="250">
        <v>111</v>
      </c>
      <c r="B113" s="250" t="s">
        <v>2675</v>
      </c>
      <c r="C113" s="250" t="s">
        <v>3988</v>
      </c>
      <c r="D113" s="250" t="s">
        <v>2076</v>
      </c>
      <c r="E113" s="250" t="s">
        <v>2373</v>
      </c>
    </row>
    <row r="114" spans="1:5" x14ac:dyDescent="0.2">
      <c r="A114" s="251">
        <v>112</v>
      </c>
      <c r="B114" s="251" t="s">
        <v>2675</v>
      </c>
      <c r="C114" s="251" t="s">
        <v>3989</v>
      </c>
      <c r="D114" s="251" t="s">
        <v>2085</v>
      </c>
      <c r="E114" s="251" t="s">
        <v>2373</v>
      </c>
    </row>
    <row r="115" spans="1:5" x14ac:dyDescent="0.2">
      <c r="A115" s="250">
        <v>113</v>
      </c>
      <c r="B115" s="250" t="s">
        <v>2675</v>
      </c>
      <c r="C115" s="250" t="s">
        <v>3990</v>
      </c>
      <c r="D115" s="250" t="s">
        <v>2076</v>
      </c>
      <c r="E115" s="250" t="s">
        <v>1202</v>
      </c>
    </row>
    <row r="116" spans="1:5" x14ac:dyDescent="0.2">
      <c r="A116" s="251">
        <v>114</v>
      </c>
      <c r="B116" s="251" t="s">
        <v>2675</v>
      </c>
      <c r="C116" s="251" t="s">
        <v>3991</v>
      </c>
      <c r="D116" s="251" t="s">
        <v>2095</v>
      </c>
      <c r="E116" s="251" t="s">
        <v>2373</v>
      </c>
    </row>
    <row r="117" spans="1:5" x14ac:dyDescent="0.2">
      <c r="A117" s="250">
        <v>115</v>
      </c>
      <c r="B117" s="250" t="s">
        <v>2675</v>
      </c>
      <c r="C117" s="250" t="s">
        <v>3992</v>
      </c>
      <c r="D117" s="250" t="s">
        <v>2068</v>
      </c>
      <c r="E117" s="250" t="s">
        <v>2373</v>
      </c>
    </row>
    <row r="118" spans="1:5" x14ac:dyDescent="0.2">
      <c r="A118" s="251">
        <v>116</v>
      </c>
      <c r="B118" s="251" t="s">
        <v>2675</v>
      </c>
      <c r="C118" s="251" t="s">
        <v>3993</v>
      </c>
      <c r="D118" s="251" t="s">
        <v>2085</v>
      </c>
      <c r="E118" s="251" t="s">
        <v>1202</v>
      </c>
    </row>
    <row r="119" spans="1:5" x14ac:dyDescent="0.2">
      <c r="A119" s="250">
        <v>117</v>
      </c>
      <c r="B119" s="250" t="s">
        <v>2675</v>
      </c>
      <c r="C119" s="250" t="s">
        <v>3994</v>
      </c>
      <c r="D119" s="250" t="s">
        <v>2068</v>
      </c>
      <c r="E119" s="250" t="s">
        <v>1202</v>
      </c>
    </row>
    <row r="120" spans="1:5" x14ac:dyDescent="0.2">
      <c r="A120" s="251">
        <v>118</v>
      </c>
      <c r="B120" s="251" t="s">
        <v>2675</v>
      </c>
      <c r="C120" s="251" t="s">
        <v>3995</v>
      </c>
      <c r="D120" s="251" t="s">
        <v>2085</v>
      </c>
      <c r="E120" s="251" t="s">
        <v>2373</v>
      </c>
    </row>
    <row r="121" spans="1:5" x14ac:dyDescent="0.2">
      <c r="A121" s="250">
        <v>119</v>
      </c>
      <c r="B121" s="250" t="s">
        <v>2675</v>
      </c>
      <c r="C121" s="250" t="s">
        <v>3996</v>
      </c>
      <c r="D121" s="250" t="s">
        <v>2076</v>
      </c>
      <c r="E121" s="250" t="s">
        <v>2373</v>
      </c>
    </row>
    <row r="122" spans="1:5" x14ac:dyDescent="0.2">
      <c r="A122" s="251">
        <v>120</v>
      </c>
      <c r="B122" s="251" t="s">
        <v>2675</v>
      </c>
      <c r="C122" s="251" t="s">
        <v>3997</v>
      </c>
      <c r="D122" s="251" t="s">
        <v>2095</v>
      </c>
      <c r="E122" s="251" t="s">
        <v>2373</v>
      </c>
    </row>
    <row r="123" spans="1:5" x14ac:dyDescent="0.2">
      <c r="A123" s="250">
        <v>121</v>
      </c>
      <c r="B123" s="250" t="s">
        <v>2678</v>
      </c>
      <c r="C123" s="250" t="s">
        <v>3998</v>
      </c>
      <c r="D123" s="250" t="s">
        <v>2095</v>
      </c>
      <c r="E123" s="250" t="s">
        <v>2373</v>
      </c>
    </row>
    <row r="124" spans="1:5" x14ac:dyDescent="0.2">
      <c r="A124" s="251">
        <v>122</v>
      </c>
      <c r="B124" s="251" t="s">
        <v>2678</v>
      </c>
      <c r="C124" s="251" t="s">
        <v>3999</v>
      </c>
      <c r="D124" s="251" t="s">
        <v>2099</v>
      </c>
      <c r="E124" s="251" t="s">
        <v>1202</v>
      </c>
    </row>
    <row r="125" spans="1:5" x14ac:dyDescent="0.2">
      <c r="A125" s="250">
        <v>123</v>
      </c>
      <c r="B125" s="250" t="s">
        <v>2678</v>
      </c>
      <c r="C125" s="250" t="s">
        <v>4000</v>
      </c>
      <c r="D125" s="250" t="s">
        <v>2095</v>
      </c>
      <c r="E125" s="250" t="s">
        <v>1202</v>
      </c>
    </row>
    <row r="126" spans="1:5" x14ac:dyDescent="0.2">
      <c r="A126" s="251">
        <v>124</v>
      </c>
      <c r="B126" s="251" t="s">
        <v>2678</v>
      </c>
      <c r="C126" s="251" t="s">
        <v>4001</v>
      </c>
      <c r="D126" s="251" t="s">
        <v>2095</v>
      </c>
      <c r="E126" s="251" t="s">
        <v>2373</v>
      </c>
    </row>
    <row r="127" spans="1:5" x14ac:dyDescent="0.2">
      <c r="A127" s="250">
        <v>125</v>
      </c>
      <c r="B127" s="250" t="s">
        <v>2678</v>
      </c>
      <c r="C127" s="250" t="s">
        <v>4002</v>
      </c>
      <c r="D127" s="250" t="s">
        <v>2099</v>
      </c>
      <c r="E127" s="250" t="s">
        <v>1202</v>
      </c>
    </row>
    <row r="128" spans="1:5" x14ac:dyDescent="0.2">
      <c r="A128" s="251">
        <v>126</v>
      </c>
      <c r="B128" s="251" t="s">
        <v>2678</v>
      </c>
      <c r="C128" s="251" t="s">
        <v>4003</v>
      </c>
      <c r="D128" s="251" t="s">
        <v>2099</v>
      </c>
      <c r="E128" s="251" t="s">
        <v>1202</v>
      </c>
    </row>
    <row r="129" spans="1:5" x14ac:dyDescent="0.2">
      <c r="A129" s="250">
        <v>127</v>
      </c>
      <c r="B129" s="250" t="s">
        <v>2678</v>
      </c>
      <c r="C129" s="250" t="s">
        <v>4004</v>
      </c>
      <c r="D129" s="250" t="s">
        <v>2099</v>
      </c>
      <c r="E129" s="250" t="s">
        <v>1202</v>
      </c>
    </row>
    <row r="130" spans="1:5" x14ac:dyDescent="0.2">
      <c r="A130" s="251">
        <v>128</v>
      </c>
      <c r="B130" s="251" t="s">
        <v>2678</v>
      </c>
      <c r="C130" s="251" t="s">
        <v>4005</v>
      </c>
      <c r="D130" s="251" t="s">
        <v>2099</v>
      </c>
      <c r="E130" s="251" t="s">
        <v>1202</v>
      </c>
    </row>
    <row r="131" spans="1:5" x14ac:dyDescent="0.2">
      <c r="A131" s="250">
        <v>129</v>
      </c>
      <c r="B131" s="250" t="s">
        <v>2678</v>
      </c>
      <c r="C131" s="250" t="s">
        <v>4006</v>
      </c>
      <c r="D131" s="250" t="s">
        <v>2095</v>
      </c>
      <c r="E131" s="250" t="s">
        <v>1202</v>
      </c>
    </row>
    <row r="132" spans="1:5" x14ac:dyDescent="0.2">
      <c r="A132" s="251">
        <v>130</v>
      </c>
      <c r="B132" s="251" t="s">
        <v>2678</v>
      </c>
      <c r="C132" s="251" t="s">
        <v>4007</v>
      </c>
      <c r="D132" s="251" t="s">
        <v>2099</v>
      </c>
      <c r="E132" s="251" t="s">
        <v>2373</v>
      </c>
    </row>
    <row r="133" spans="1:5" x14ac:dyDescent="0.2">
      <c r="A133" s="250">
        <v>131</v>
      </c>
      <c r="B133" s="250" t="s">
        <v>2678</v>
      </c>
      <c r="C133" s="250" t="s">
        <v>4008</v>
      </c>
      <c r="D133" s="250" t="s">
        <v>2085</v>
      </c>
      <c r="E133" s="250" t="s">
        <v>2373</v>
      </c>
    </row>
    <row r="134" spans="1:5" x14ac:dyDescent="0.2">
      <c r="A134" s="251">
        <v>132</v>
      </c>
      <c r="B134" s="251" t="s">
        <v>2681</v>
      </c>
      <c r="C134" s="251" t="s">
        <v>4009</v>
      </c>
      <c r="D134" s="251" t="s">
        <v>2068</v>
      </c>
      <c r="E134" s="251" t="s">
        <v>3889</v>
      </c>
    </row>
    <row r="135" spans="1:5" x14ac:dyDescent="0.2">
      <c r="A135" s="250">
        <v>133</v>
      </c>
      <c r="B135" s="250" t="s">
        <v>2681</v>
      </c>
      <c r="C135" s="250" t="s">
        <v>4010</v>
      </c>
      <c r="D135" s="250" t="s">
        <v>2068</v>
      </c>
      <c r="E135" s="250" t="s">
        <v>2687</v>
      </c>
    </row>
    <row r="136" spans="1:5" x14ac:dyDescent="0.2">
      <c r="A136" s="251">
        <v>134</v>
      </c>
      <c r="B136" s="251" t="s">
        <v>2681</v>
      </c>
      <c r="C136" s="251" t="s">
        <v>4011</v>
      </c>
      <c r="D136" s="251" t="s">
        <v>2076</v>
      </c>
      <c r="E136" s="251" t="s">
        <v>2687</v>
      </c>
    </row>
    <row r="137" spans="1:5" x14ac:dyDescent="0.2">
      <c r="A137" s="250">
        <v>135</v>
      </c>
      <c r="B137" s="250" t="s">
        <v>2681</v>
      </c>
      <c r="C137" s="250" t="s">
        <v>4012</v>
      </c>
      <c r="D137" s="250" t="s">
        <v>2076</v>
      </c>
      <c r="E137" s="250" t="s">
        <v>2687</v>
      </c>
    </row>
    <row r="138" spans="1:5" x14ac:dyDescent="0.2">
      <c r="A138" s="251">
        <v>136</v>
      </c>
      <c r="B138" s="251" t="s">
        <v>2681</v>
      </c>
      <c r="C138" s="251" t="s">
        <v>4013</v>
      </c>
      <c r="D138" s="251" t="s">
        <v>2068</v>
      </c>
      <c r="E138" s="251" t="s">
        <v>3889</v>
      </c>
    </row>
    <row r="139" spans="1:5" x14ac:dyDescent="0.2">
      <c r="A139" s="250">
        <v>137</v>
      </c>
      <c r="B139" s="250" t="s">
        <v>2681</v>
      </c>
      <c r="C139" s="250" t="s">
        <v>4014</v>
      </c>
      <c r="D139" s="250" t="s">
        <v>2068</v>
      </c>
      <c r="E139" s="250" t="s">
        <v>3889</v>
      </c>
    </row>
    <row r="140" spans="1:5" x14ac:dyDescent="0.2">
      <c r="A140" s="251">
        <v>138</v>
      </c>
      <c r="B140" s="251" t="s">
        <v>2681</v>
      </c>
      <c r="C140" s="251" t="s">
        <v>4015</v>
      </c>
      <c r="D140" s="251" t="s">
        <v>2076</v>
      </c>
      <c r="E140" s="251" t="s">
        <v>2687</v>
      </c>
    </row>
    <row r="141" spans="1:5" x14ac:dyDescent="0.2">
      <c r="A141" s="250">
        <v>139</v>
      </c>
      <c r="B141" s="250" t="s">
        <v>2681</v>
      </c>
      <c r="C141" s="250" t="s">
        <v>4016</v>
      </c>
      <c r="D141" s="250" t="s">
        <v>2076</v>
      </c>
      <c r="E141" s="250" t="s">
        <v>2687</v>
      </c>
    </row>
    <row r="142" spans="1:5" x14ac:dyDescent="0.2">
      <c r="A142" s="251">
        <v>140</v>
      </c>
      <c r="B142" s="251" t="s">
        <v>2681</v>
      </c>
      <c r="C142" s="251" t="s">
        <v>4017</v>
      </c>
      <c r="D142" s="251" t="s">
        <v>2076</v>
      </c>
      <c r="E142" s="251" t="s">
        <v>3889</v>
      </c>
    </row>
    <row r="143" spans="1:5" x14ac:dyDescent="0.2">
      <c r="A143" s="250">
        <v>141</v>
      </c>
      <c r="B143" s="250" t="s">
        <v>2681</v>
      </c>
      <c r="C143" s="250" t="s">
        <v>4018</v>
      </c>
      <c r="D143" s="250" t="s">
        <v>2068</v>
      </c>
      <c r="E143" s="250" t="s">
        <v>2687</v>
      </c>
    </row>
    <row r="144" spans="1:5" x14ac:dyDescent="0.2">
      <c r="A144" s="251">
        <v>142</v>
      </c>
      <c r="B144" s="251" t="s">
        <v>2681</v>
      </c>
      <c r="C144" s="251" t="s">
        <v>4019</v>
      </c>
      <c r="D144" s="251" t="s">
        <v>2076</v>
      </c>
      <c r="E144" s="251" t="s">
        <v>2687</v>
      </c>
    </row>
    <row r="145" spans="1:5" x14ac:dyDescent="0.2">
      <c r="A145" s="250">
        <v>143</v>
      </c>
      <c r="B145" s="250" t="s">
        <v>2681</v>
      </c>
      <c r="C145" s="250" t="s">
        <v>4020</v>
      </c>
      <c r="D145" s="250" t="s">
        <v>2068</v>
      </c>
      <c r="E145" s="250" t="s">
        <v>3889</v>
      </c>
    </row>
    <row r="148" spans="1:5" x14ac:dyDescent="0.2">
      <c r="B148" s="257" t="s">
        <v>853</v>
      </c>
    </row>
  </sheetData>
  <mergeCells count="1">
    <mergeCell ref="A1:E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16"/>
  <sheetViews>
    <sheetView workbookViewId="0"/>
  </sheetViews>
  <sheetFormatPr defaultRowHeight="15" x14ac:dyDescent="0.2"/>
  <cols>
    <col min="1" max="1" width="25.01953125" style="396" customWidth="1"/>
    <col min="2" max="2" width="39.953125" style="396" customWidth="1"/>
    <col min="3" max="3" width="20.04296875" style="396" customWidth="1"/>
    <col min="4" max="4" width="29.99609375" style="396" customWidth="1"/>
  </cols>
  <sheetData>
    <row r="1" spans="1:4" ht="18" customHeight="1" x14ac:dyDescent="0.2">
      <c r="A1" s="254" t="s">
        <v>4021</v>
      </c>
    </row>
    <row r="3" spans="1:4" x14ac:dyDescent="0.2">
      <c r="A3" s="255" t="s">
        <v>4022</v>
      </c>
      <c r="B3" s="255" t="s">
        <v>2039</v>
      </c>
      <c r="C3" s="255" t="s">
        <v>4023</v>
      </c>
      <c r="D3" s="255" t="s">
        <v>4024</v>
      </c>
    </row>
    <row r="4" spans="1:4" x14ac:dyDescent="0.2">
      <c r="A4" s="253" t="s">
        <v>4025</v>
      </c>
      <c r="B4" s="253" t="s">
        <v>4026</v>
      </c>
      <c r="C4" s="253" t="s">
        <v>4027</v>
      </c>
      <c r="D4" s="253" t="s">
        <v>4028</v>
      </c>
    </row>
    <row r="5" spans="1:4" x14ac:dyDescent="0.2">
      <c r="A5" s="253" t="s">
        <v>4029</v>
      </c>
      <c r="B5" s="253" t="s">
        <v>4030</v>
      </c>
      <c r="C5" s="253" t="s">
        <v>4031</v>
      </c>
      <c r="D5" s="253" t="s">
        <v>4032</v>
      </c>
    </row>
    <row r="6" spans="1:4" ht="24.75" customHeight="1" x14ac:dyDescent="0.2">
      <c r="A6" s="253" t="s">
        <v>4033</v>
      </c>
      <c r="B6" s="253" t="s">
        <v>4034</v>
      </c>
      <c r="C6" s="253" t="s">
        <v>4035</v>
      </c>
      <c r="D6" s="253" t="s">
        <v>4036</v>
      </c>
    </row>
    <row r="7" spans="1:4" ht="24.75" customHeight="1" x14ac:dyDescent="0.2">
      <c r="A7" s="253" t="s">
        <v>4037</v>
      </c>
      <c r="B7" s="253" t="s">
        <v>4038</v>
      </c>
      <c r="C7" s="253" t="s">
        <v>4039</v>
      </c>
      <c r="D7" s="253" t="s">
        <v>4040</v>
      </c>
    </row>
    <row r="8" spans="1:4" ht="24.75" customHeight="1" x14ac:dyDescent="0.2">
      <c r="A8" s="253" t="s">
        <v>4041</v>
      </c>
      <c r="B8" s="253" t="s">
        <v>4042</v>
      </c>
      <c r="C8" s="253" t="s">
        <v>4043</v>
      </c>
      <c r="D8" s="253" t="s">
        <v>4044</v>
      </c>
    </row>
    <row r="9" spans="1:4" ht="24.75" customHeight="1" x14ac:dyDescent="0.2">
      <c r="A9" s="253" t="s">
        <v>4045</v>
      </c>
      <c r="B9" s="253" t="s">
        <v>4046</v>
      </c>
      <c r="C9" s="253" t="s">
        <v>4047</v>
      </c>
      <c r="D9" s="253" t="s">
        <v>4048</v>
      </c>
    </row>
    <row r="10" spans="1:4" ht="24.75" customHeight="1" x14ac:dyDescent="0.2">
      <c r="A10" s="253" t="s">
        <v>4049</v>
      </c>
      <c r="B10" s="253" t="s">
        <v>4050</v>
      </c>
      <c r="C10" s="253" t="s">
        <v>4051</v>
      </c>
      <c r="D10" s="253" t="s">
        <v>4052</v>
      </c>
    </row>
    <row r="11" spans="1:4" x14ac:dyDescent="0.2">
      <c r="A11" s="253" t="s">
        <v>4053</v>
      </c>
      <c r="B11" s="253" t="s">
        <v>4054</v>
      </c>
      <c r="C11" s="253" t="s">
        <v>4055</v>
      </c>
      <c r="D11" s="253" t="s">
        <v>4056</v>
      </c>
    </row>
    <row r="12" spans="1:4" x14ac:dyDescent="0.2">
      <c r="A12" s="253" t="s">
        <v>4057</v>
      </c>
      <c r="B12" s="253" t="s">
        <v>4058</v>
      </c>
      <c r="C12" s="253" t="s">
        <v>4059</v>
      </c>
      <c r="D12" s="253" t="s">
        <v>4060</v>
      </c>
    </row>
    <row r="13" spans="1:4" ht="24.75" customHeight="1" x14ac:dyDescent="0.2">
      <c r="A13" s="253" t="s">
        <v>4061</v>
      </c>
      <c r="B13" s="253" t="s">
        <v>4062</v>
      </c>
      <c r="C13" s="253" t="s">
        <v>4063</v>
      </c>
      <c r="D13" s="253" t="s">
        <v>4064</v>
      </c>
    </row>
    <row r="16" spans="1:4" x14ac:dyDescent="0.2">
      <c r="B16" s="257" t="s">
        <v>853</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396" customWidth="1"/>
    <col min="2" max="2" width="45.0625" style="396" customWidth="1"/>
    <col min="3" max="3" width="14.9296875" style="396" customWidth="1"/>
    <col min="4" max="4" width="34.97265625" style="396" customWidth="1"/>
  </cols>
  <sheetData>
    <row r="1" spans="1:4" ht="18" customHeight="1" x14ac:dyDescent="0.2">
      <c r="A1" s="254" t="s">
        <v>4065</v>
      </c>
    </row>
    <row r="3" spans="1:4" x14ac:dyDescent="0.2">
      <c r="A3" s="255" t="s">
        <v>4066</v>
      </c>
      <c r="B3" s="255" t="s">
        <v>2039</v>
      </c>
      <c r="C3" s="255" t="s">
        <v>4067</v>
      </c>
      <c r="D3" s="255" t="s">
        <v>4068</v>
      </c>
    </row>
    <row r="4" spans="1:4" x14ac:dyDescent="0.2">
      <c r="A4" s="253" t="s">
        <v>4069</v>
      </c>
      <c r="B4" s="253" t="s">
        <v>4070</v>
      </c>
      <c r="C4" s="253" t="s">
        <v>4071</v>
      </c>
      <c r="D4" s="253" t="s">
        <v>4072</v>
      </c>
    </row>
    <row r="5" spans="1:4" x14ac:dyDescent="0.2">
      <c r="A5" s="253" t="s">
        <v>4073</v>
      </c>
      <c r="B5" s="253" t="s">
        <v>4074</v>
      </c>
      <c r="C5" s="253" t="s">
        <v>4075</v>
      </c>
      <c r="D5" s="253" t="s">
        <v>4076</v>
      </c>
    </row>
    <row r="6" spans="1:4" x14ac:dyDescent="0.2">
      <c r="A6" s="253" t="s">
        <v>4077</v>
      </c>
      <c r="B6" s="253" t="s">
        <v>4078</v>
      </c>
      <c r="C6" s="253" t="s">
        <v>4079</v>
      </c>
      <c r="D6" s="253" t="s">
        <v>4080</v>
      </c>
    </row>
    <row r="7" spans="1:4" x14ac:dyDescent="0.2">
      <c r="A7" s="253" t="s">
        <v>4081</v>
      </c>
      <c r="B7" s="253" t="s">
        <v>4082</v>
      </c>
      <c r="C7" s="253" t="s">
        <v>4083</v>
      </c>
      <c r="D7" s="253" t="s">
        <v>4084</v>
      </c>
    </row>
    <row r="8" spans="1:4" x14ac:dyDescent="0.2">
      <c r="A8" s="253" t="s">
        <v>4085</v>
      </c>
      <c r="B8" s="253" t="s">
        <v>4086</v>
      </c>
      <c r="C8" s="253" t="s">
        <v>449</v>
      </c>
      <c r="D8" s="253" t="s">
        <v>4087</v>
      </c>
    </row>
    <row r="9" spans="1:4" x14ac:dyDescent="0.2">
      <c r="A9" s="253" t="s">
        <v>4088</v>
      </c>
      <c r="B9" s="253" t="s">
        <v>4089</v>
      </c>
      <c r="C9" s="253" t="s">
        <v>449</v>
      </c>
      <c r="D9" s="253" t="s">
        <v>4090</v>
      </c>
    </row>
    <row r="10" spans="1:4" x14ac:dyDescent="0.2">
      <c r="A10" s="253" t="s">
        <v>4091</v>
      </c>
      <c r="B10" s="253" t="s">
        <v>4092</v>
      </c>
      <c r="C10" s="253" t="s">
        <v>4093</v>
      </c>
      <c r="D10" s="253" t="s">
        <v>4094</v>
      </c>
    </row>
    <row r="11" spans="1:4" x14ac:dyDescent="0.2">
      <c r="A11" s="253" t="s">
        <v>4095</v>
      </c>
      <c r="B11" s="253" t="s">
        <v>4096</v>
      </c>
      <c r="C11" s="253" t="s">
        <v>449</v>
      </c>
      <c r="D11" s="253" t="s">
        <v>4097</v>
      </c>
    </row>
    <row r="12" spans="1:4" x14ac:dyDescent="0.2">
      <c r="A12" s="253" t="s">
        <v>4098</v>
      </c>
      <c r="B12" s="253" t="s">
        <v>4099</v>
      </c>
      <c r="C12" s="253" t="s">
        <v>449</v>
      </c>
      <c r="D12" s="253" t="s">
        <v>4100</v>
      </c>
    </row>
    <row r="13" spans="1:4" x14ac:dyDescent="0.2">
      <c r="A13" s="253" t="s">
        <v>4101</v>
      </c>
      <c r="B13" s="253" t="s">
        <v>4102</v>
      </c>
      <c r="C13" s="253" t="s">
        <v>449</v>
      </c>
      <c r="D13" s="253" t="s">
        <v>4103</v>
      </c>
    </row>
    <row r="16" spans="1:4" x14ac:dyDescent="0.2">
      <c r="B16" s="257" t="s">
        <v>853</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9"/>
  <sheetViews>
    <sheetView workbookViewId="0"/>
  </sheetViews>
  <sheetFormatPr defaultRowHeight="15" x14ac:dyDescent="0.2"/>
  <cols>
    <col min="1" max="1" width="22.05859375" style="396" customWidth="1"/>
    <col min="2" max="2" width="29.99609375" style="396" customWidth="1"/>
    <col min="3" max="3" width="45.0625" style="396" customWidth="1"/>
  </cols>
  <sheetData>
    <row r="1" spans="1:3" ht="18" customHeight="1" x14ac:dyDescent="0.2">
      <c r="A1" s="254" t="s">
        <v>4104</v>
      </c>
    </row>
    <row r="3" spans="1:3" x14ac:dyDescent="0.2">
      <c r="A3" s="255" t="s">
        <v>4105</v>
      </c>
      <c r="B3" s="255" t="s">
        <v>4106</v>
      </c>
      <c r="C3" s="255" t="s">
        <v>4107</v>
      </c>
    </row>
    <row r="4" spans="1:3" ht="24.75" customHeight="1" x14ac:dyDescent="0.2">
      <c r="A4" s="253" t="s">
        <v>4108</v>
      </c>
      <c r="B4" s="253" t="s">
        <v>4109</v>
      </c>
      <c r="C4" s="253" t="s">
        <v>4110</v>
      </c>
    </row>
    <row r="5" spans="1:3" ht="24.75" customHeight="1" x14ac:dyDescent="0.2">
      <c r="A5" s="253" t="s">
        <v>4111</v>
      </c>
      <c r="B5" s="253" t="s">
        <v>4112</v>
      </c>
      <c r="C5" s="253" t="s">
        <v>4113</v>
      </c>
    </row>
    <row r="6" spans="1:3" ht="24.75" customHeight="1" x14ac:dyDescent="0.2">
      <c r="A6" s="253" t="s">
        <v>4114</v>
      </c>
      <c r="B6" s="253" t="s">
        <v>4115</v>
      </c>
      <c r="C6" s="253" t="s">
        <v>4116</v>
      </c>
    </row>
    <row r="7" spans="1:3" ht="24.75" customHeight="1" x14ac:dyDescent="0.2">
      <c r="A7" s="253" t="s">
        <v>4117</v>
      </c>
      <c r="B7" s="253" t="s">
        <v>4118</v>
      </c>
      <c r="C7" s="253" t="s">
        <v>4119</v>
      </c>
    </row>
    <row r="8" spans="1:3" x14ac:dyDescent="0.2">
      <c r="A8" s="253" t="s">
        <v>4120</v>
      </c>
      <c r="B8" s="253" t="s">
        <v>4121</v>
      </c>
      <c r="C8" s="253" t="s">
        <v>4122</v>
      </c>
    </row>
    <row r="9" spans="1:3" x14ac:dyDescent="0.2">
      <c r="A9" s="253" t="s">
        <v>4123</v>
      </c>
      <c r="B9" s="253" t="s">
        <v>4124</v>
      </c>
      <c r="C9" s="253" t="s">
        <v>4125</v>
      </c>
    </row>
    <row r="10" spans="1:3" ht="24.75" customHeight="1" x14ac:dyDescent="0.2">
      <c r="A10" s="253" t="s">
        <v>4126</v>
      </c>
      <c r="B10" s="253" t="s">
        <v>4127</v>
      </c>
      <c r="C10" s="253" t="s">
        <v>4128</v>
      </c>
    </row>
    <row r="11" spans="1:3" ht="24.75" customHeight="1" x14ac:dyDescent="0.2">
      <c r="A11" s="253" t="s">
        <v>4129</v>
      </c>
      <c r="B11" s="253" t="s">
        <v>4130</v>
      </c>
      <c r="C11" s="253" t="s">
        <v>4131</v>
      </c>
    </row>
    <row r="12" spans="1:3" ht="24.75" customHeight="1" x14ac:dyDescent="0.2">
      <c r="A12" s="253" t="s">
        <v>4132</v>
      </c>
      <c r="B12" s="253" t="s">
        <v>4133</v>
      </c>
      <c r="C12" s="253" t="s">
        <v>4134</v>
      </c>
    </row>
    <row r="13" spans="1:3" x14ac:dyDescent="0.2">
      <c r="A13" s="253" t="s">
        <v>4135</v>
      </c>
      <c r="B13" s="253" t="s">
        <v>4136</v>
      </c>
      <c r="C13" s="253" t="s">
        <v>4137</v>
      </c>
    </row>
    <row r="14" spans="1:3" x14ac:dyDescent="0.2">
      <c r="A14" s="253" t="s">
        <v>4138</v>
      </c>
      <c r="B14" s="253" t="s">
        <v>4124</v>
      </c>
      <c r="C14" s="253" t="s">
        <v>4139</v>
      </c>
    </row>
    <row r="15" spans="1:3" x14ac:dyDescent="0.2">
      <c r="A15" s="253" t="s">
        <v>4140</v>
      </c>
      <c r="B15" s="253" t="s">
        <v>4141</v>
      </c>
      <c r="C15" s="253" t="s">
        <v>4142</v>
      </c>
    </row>
    <row r="16" spans="1:3" ht="24.75" customHeight="1" x14ac:dyDescent="0.2">
      <c r="A16" s="253" t="s">
        <v>4143</v>
      </c>
      <c r="B16" s="253" t="s">
        <v>4144</v>
      </c>
      <c r="C16" s="253" t="s">
        <v>4145</v>
      </c>
    </row>
    <row r="19" spans="2:2" x14ac:dyDescent="0.2">
      <c r="B19" s="257" t="s">
        <v>853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70"/>
  <sheetViews>
    <sheetView showGridLines="0" workbookViewId="0"/>
  </sheetViews>
  <sheetFormatPr defaultRowHeight="15" x14ac:dyDescent="0.2"/>
  <cols>
    <col min="1" max="1" width="34.97265625" style="396" customWidth="1"/>
    <col min="2" max="2" width="55.01953125" style="396" customWidth="1"/>
    <col min="3" max="4" width="14.9296875" style="396" customWidth="1"/>
    <col min="5" max="5" width="20.04296875" style="396" customWidth="1"/>
    <col min="6" max="6" width="18.0234375" style="396" customWidth="1"/>
    <col min="7" max="8" width="13.98828125" style="396" customWidth="1"/>
    <col min="9" max="9" width="29.99609375" style="396" customWidth="1"/>
  </cols>
  <sheetData>
    <row r="1" spans="1:5" x14ac:dyDescent="0.2">
      <c r="A1" s="439" t="s">
        <v>4146</v>
      </c>
      <c r="B1" s="416"/>
      <c r="C1" s="416"/>
      <c r="D1" s="416"/>
      <c r="E1" s="416"/>
    </row>
    <row r="2" spans="1:5" x14ac:dyDescent="0.2">
      <c r="A2" s="434" t="s">
        <v>4147</v>
      </c>
      <c r="B2" s="416"/>
      <c r="C2" s="416"/>
      <c r="D2" s="416"/>
      <c r="E2" s="416"/>
    </row>
    <row r="3" spans="1:5" x14ac:dyDescent="0.2">
      <c r="A3" s="434" t="s">
        <v>4148</v>
      </c>
      <c r="B3" s="416"/>
      <c r="C3" s="416"/>
      <c r="D3" s="416"/>
      <c r="E3" s="416"/>
    </row>
    <row r="5" spans="1:5" x14ac:dyDescent="0.2">
      <c r="A5" s="339" t="s">
        <v>4149</v>
      </c>
      <c r="B5" s="339" t="s">
        <v>4150</v>
      </c>
      <c r="C5" s="339" t="s">
        <v>4151</v>
      </c>
      <c r="D5" s="339" t="s">
        <v>4152</v>
      </c>
      <c r="E5" s="339" t="s">
        <v>4153</v>
      </c>
    </row>
    <row r="6" spans="1:5" x14ac:dyDescent="0.2">
      <c r="A6" s="520" t="s">
        <v>4154</v>
      </c>
      <c r="B6" s="521"/>
      <c r="C6" s="521"/>
      <c r="D6" s="521"/>
      <c r="E6" s="521"/>
    </row>
    <row r="7" spans="1:5" x14ac:dyDescent="0.2">
      <c r="A7" s="340" t="s">
        <v>4155</v>
      </c>
      <c r="B7" s="414" t="s">
        <v>4156</v>
      </c>
      <c r="C7" s="414" t="s">
        <v>4157</v>
      </c>
      <c r="D7" s="414" t="s">
        <v>4158</v>
      </c>
      <c r="E7" s="414" t="s">
        <v>246</v>
      </c>
    </row>
    <row r="8" spans="1:5" x14ac:dyDescent="0.2">
      <c r="A8" s="340" t="s">
        <v>4159</v>
      </c>
      <c r="B8" s="414" t="s">
        <v>4160</v>
      </c>
      <c r="C8" s="414" t="s">
        <v>4157</v>
      </c>
      <c r="D8" s="414" t="s">
        <v>4158</v>
      </c>
      <c r="E8" s="414" t="s">
        <v>246</v>
      </c>
    </row>
    <row r="9" spans="1:5" x14ac:dyDescent="0.2">
      <c r="A9" s="340" t="s">
        <v>4161</v>
      </c>
      <c r="B9" s="414" t="s">
        <v>4162</v>
      </c>
      <c r="C9" s="414" t="s">
        <v>4163</v>
      </c>
      <c r="D9" s="414" t="s">
        <v>4158</v>
      </c>
      <c r="E9" s="414" t="s">
        <v>246</v>
      </c>
    </row>
    <row r="10" spans="1:5" x14ac:dyDescent="0.2">
      <c r="A10" s="340" t="s">
        <v>4164</v>
      </c>
      <c r="B10" s="414" t="s">
        <v>4165</v>
      </c>
      <c r="C10" s="414" t="s">
        <v>4163</v>
      </c>
      <c r="D10" s="414" t="s">
        <v>4166</v>
      </c>
      <c r="E10" s="414" t="s">
        <v>246</v>
      </c>
    </row>
    <row r="11" spans="1:5" x14ac:dyDescent="0.2">
      <c r="A11" s="340" t="s">
        <v>4167</v>
      </c>
      <c r="B11" s="414" t="s">
        <v>4168</v>
      </c>
      <c r="C11" s="414" t="s">
        <v>4157</v>
      </c>
      <c r="D11" s="414" t="s">
        <v>4158</v>
      </c>
      <c r="E11" s="414" t="s">
        <v>246</v>
      </c>
    </row>
    <row r="12" spans="1:5" x14ac:dyDescent="0.2">
      <c r="A12" s="340" t="s">
        <v>4169</v>
      </c>
      <c r="B12" s="414" t="s">
        <v>4168</v>
      </c>
      <c r="C12" s="414" t="s">
        <v>4157</v>
      </c>
      <c r="D12" s="414" t="s">
        <v>4158</v>
      </c>
      <c r="E12" s="414" t="s">
        <v>246</v>
      </c>
    </row>
    <row r="13" spans="1:5" x14ac:dyDescent="0.2">
      <c r="A13" s="340" t="s">
        <v>4170</v>
      </c>
      <c r="B13" s="414" t="s">
        <v>4171</v>
      </c>
      <c r="C13" s="414" t="s">
        <v>4157</v>
      </c>
      <c r="D13" s="414" t="s">
        <v>4158</v>
      </c>
      <c r="E13" s="414" t="s">
        <v>246</v>
      </c>
    </row>
    <row r="14" spans="1:5" x14ac:dyDescent="0.2">
      <c r="A14" s="340" t="s">
        <v>4172</v>
      </c>
      <c r="B14" s="414" t="s">
        <v>4173</v>
      </c>
      <c r="C14" s="414" t="s">
        <v>4157</v>
      </c>
      <c r="D14" s="414" t="s">
        <v>4158</v>
      </c>
      <c r="E14" s="414" t="s">
        <v>246</v>
      </c>
    </row>
    <row r="15" spans="1:5" x14ac:dyDescent="0.2">
      <c r="A15" s="340" t="s">
        <v>4174</v>
      </c>
      <c r="B15" s="414" t="s">
        <v>4175</v>
      </c>
      <c r="C15" s="414" t="s">
        <v>4157</v>
      </c>
      <c r="D15" s="414" t="s">
        <v>4158</v>
      </c>
      <c r="E15" s="414" t="s">
        <v>246</v>
      </c>
    </row>
    <row r="16" spans="1:5" x14ac:dyDescent="0.2">
      <c r="A16" s="340" t="s">
        <v>4176</v>
      </c>
      <c r="B16" s="414" t="s">
        <v>4177</v>
      </c>
      <c r="C16" s="414" t="s">
        <v>4178</v>
      </c>
      <c r="D16" s="414" t="s">
        <v>4158</v>
      </c>
      <c r="E16" s="414" t="s">
        <v>246</v>
      </c>
    </row>
    <row r="17" spans="1:5" x14ac:dyDescent="0.2">
      <c r="A17" s="340" t="s">
        <v>4179</v>
      </c>
      <c r="B17" s="414" t="s">
        <v>4180</v>
      </c>
      <c r="C17" s="414" t="s">
        <v>4157</v>
      </c>
      <c r="D17" s="414" t="s">
        <v>4158</v>
      </c>
      <c r="E17" s="414" t="s">
        <v>246</v>
      </c>
    </row>
    <row r="19" spans="1:5" x14ac:dyDescent="0.2">
      <c r="A19" s="520" t="s">
        <v>4181</v>
      </c>
      <c r="B19" s="521"/>
      <c r="C19" s="521"/>
      <c r="D19" s="521"/>
      <c r="E19" s="521"/>
    </row>
    <row r="20" spans="1:5" x14ac:dyDescent="0.2">
      <c r="A20" s="340" t="s">
        <v>4182</v>
      </c>
      <c r="B20" s="414" t="s">
        <v>4183</v>
      </c>
      <c r="C20" s="414" t="s">
        <v>4184</v>
      </c>
      <c r="D20" s="414" t="s">
        <v>4158</v>
      </c>
      <c r="E20" s="414" t="s">
        <v>246</v>
      </c>
    </row>
    <row r="21" spans="1:5" x14ac:dyDescent="0.2">
      <c r="A21" s="340" t="s">
        <v>4185</v>
      </c>
      <c r="B21" s="414" t="s">
        <v>4186</v>
      </c>
      <c r="C21" s="414" t="s">
        <v>4184</v>
      </c>
      <c r="D21" s="414" t="s">
        <v>4158</v>
      </c>
      <c r="E21" s="414" t="s">
        <v>246</v>
      </c>
    </row>
    <row r="22" spans="1:5" x14ac:dyDescent="0.2">
      <c r="A22" s="340" t="s">
        <v>4187</v>
      </c>
      <c r="B22" s="414" t="s">
        <v>4188</v>
      </c>
      <c r="C22" s="414" t="s">
        <v>4157</v>
      </c>
      <c r="D22" s="414" t="s">
        <v>4158</v>
      </c>
      <c r="E22" s="414" t="s">
        <v>246</v>
      </c>
    </row>
    <row r="23" spans="1:5" x14ac:dyDescent="0.2">
      <c r="A23" s="340" t="s">
        <v>4189</v>
      </c>
      <c r="B23" s="414" t="s">
        <v>4190</v>
      </c>
      <c r="C23" s="414" t="s">
        <v>4191</v>
      </c>
      <c r="D23" s="414" t="s">
        <v>4192</v>
      </c>
      <c r="E23" s="414" t="s">
        <v>246</v>
      </c>
    </row>
    <row r="24" spans="1:5" x14ac:dyDescent="0.2">
      <c r="A24" s="340" t="s">
        <v>4193</v>
      </c>
      <c r="B24" s="414" t="s">
        <v>4194</v>
      </c>
      <c r="C24" s="414" t="s">
        <v>4195</v>
      </c>
      <c r="D24" s="414" t="s">
        <v>4158</v>
      </c>
      <c r="E24" s="414" t="s">
        <v>246</v>
      </c>
    </row>
    <row r="25" spans="1:5" x14ac:dyDescent="0.2">
      <c r="A25" s="340" t="s">
        <v>4196</v>
      </c>
      <c r="B25" s="414" t="s">
        <v>4197</v>
      </c>
      <c r="C25" s="414" t="s">
        <v>4184</v>
      </c>
      <c r="D25" s="414" t="s">
        <v>4158</v>
      </c>
      <c r="E25" s="414" t="s">
        <v>246</v>
      </c>
    </row>
    <row r="26" spans="1:5" x14ac:dyDescent="0.2">
      <c r="A26" s="340" t="s">
        <v>4198</v>
      </c>
      <c r="B26" s="414" t="s">
        <v>4199</v>
      </c>
      <c r="C26" s="414" t="s">
        <v>4200</v>
      </c>
      <c r="D26" s="414" t="s">
        <v>4201</v>
      </c>
      <c r="E26" s="414" t="s">
        <v>246</v>
      </c>
    </row>
    <row r="27" spans="1:5" x14ac:dyDescent="0.2">
      <c r="A27" s="340" t="s">
        <v>4202</v>
      </c>
      <c r="B27" s="414" t="s">
        <v>4203</v>
      </c>
      <c r="C27" s="414" t="s">
        <v>4178</v>
      </c>
      <c r="D27" s="414" t="s">
        <v>4158</v>
      </c>
      <c r="E27" s="414" t="s">
        <v>246</v>
      </c>
    </row>
    <row r="28" spans="1:5" x14ac:dyDescent="0.2">
      <c r="A28" s="340" t="s">
        <v>4204</v>
      </c>
      <c r="B28" s="414" t="s">
        <v>4205</v>
      </c>
      <c r="C28" s="414" t="s">
        <v>4178</v>
      </c>
      <c r="D28" s="414" t="s">
        <v>4158</v>
      </c>
      <c r="E28" s="414" t="s">
        <v>246</v>
      </c>
    </row>
    <row r="30" spans="1:5" x14ac:dyDescent="0.2">
      <c r="A30" s="520" t="s">
        <v>4206</v>
      </c>
      <c r="B30" s="521"/>
      <c r="C30" s="521"/>
      <c r="D30" s="521"/>
      <c r="E30" s="521"/>
    </row>
    <row r="31" spans="1:5" x14ac:dyDescent="0.2">
      <c r="A31" s="340" t="s">
        <v>4207</v>
      </c>
      <c r="B31" s="414" t="s">
        <v>4208</v>
      </c>
      <c r="C31" s="414" t="s">
        <v>4184</v>
      </c>
      <c r="D31" s="414" t="s">
        <v>4158</v>
      </c>
      <c r="E31" s="414" t="s">
        <v>246</v>
      </c>
    </row>
    <row r="32" spans="1:5" x14ac:dyDescent="0.2">
      <c r="A32" s="340" t="s">
        <v>4209</v>
      </c>
      <c r="B32" s="414" t="s">
        <v>4210</v>
      </c>
      <c r="C32" s="414" t="s">
        <v>4184</v>
      </c>
      <c r="D32" s="414" t="s">
        <v>4158</v>
      </c>
      <c r="E32" s="414" t="s">
        <v>246</v>
      </c>
    </row>
    <row r="34" spans="1:5" x14ac:dyDescent="0.2">
      <c r="A34" s="520" t="s">
        <v>4211</v>
      </c>
      <c r="B34" s="521"/>
      <c r="C34" s="521"/>
      <c r="D34" s="521"/>
      <c r="E34" s="521"/>
    </row>
    <row r="35" spans="1:5" x14ac:dyDescent="0.2">
      <c r="A35" s="340" t="s">
        <v>4212</v>
      </c>
      <c r="B35" s="414" t="s">
        <v>4213</v>
      </c>
      <c r="C35" s="414" t="s">
        <v>4163</v>
      </c>
      <c r="D35" s="414" t="s">
        <v>4214</v>
      </c>
      <c r="E35" s="414" t="s">
        <v>246</v>
      </c>
    </row>
    <row r="36" spans="1:5" x14ac:dyDescent="0.2">
      <c r="A36" s="340" t="s">
        <v>4215</v>
      </c>
      <c r="B36" s="414" t="s">
        <v>4216</v>
      </c>
      <c r="C36" s="414" t="s">
        <v>3663</v>
      </c>
      <c r="D36" s="414" t="s">
        <v>4214</v>
      </c>
      <c r="E36" s="414" t="s">
        <v>246</v>
      </c>
    </row>
    <row r="37" spans="1:5" x14ac:dyDescent="0.2">
      <c r="A37" s="340" t="s">
        <v>4217</v>
      </c>
      <c r="B37" s="414" t="s">
        <v>4218</v>
      </c>
      <c r="C37" s="414" t="s">
        <v>4219</v>
      </c>
      <c r="D37" s="414" t="s">
        <v>4214</v>
      </c>
      <c r="E37" s="414" t="s">
        <v>246</v>
      </c>
    </row>
    <row r="39" spans="1:5" x14ac:dyDescent="0.2">
      <c r="A39" s="520" t="s">
        <v>4220</v>
      </c>
      <c r="B39" s="521"/>
      <c r="C39" s="521"/>
      <c r="D39" s="521"/>
      <c r="E39" s="521"/>
    </row>
    <row r="40" spans="1:5" x14ac:dyDescent="0.2">
      <c r="A40" s="340" t="s">
        <v>4221</v>
      </c>
      <c r="B40" s="414" t="s">
        <v>4222</v>
      </c>
      <c r="C40" s="414" t="s">
        <v>4191</v>
      </c>
      <c r="D40" s="414" t="s">
        <v>4223</v>
      </c>
      <c r="E40" s="414" t="s">
        <v>246</v>
      </c>
    </row>
    <row r="41" spans="1:5" x14ac:dyDescent="0.2">
      <c r="A41" s="340" t="s">
        <v>4224</v>
      </c>
      <c r="B41" s="414" t="s">
        <v>4225</v>
      </c>
      <c r="C41" s="414" t="s">
        <v>4226</v>
      </c>
      <c r="D41" s="414" t="s">
        <v>4227</v>
      </c>
      <c r="E41" s="414" t="s">
        <v>246</v>
      </c>
    </row>
    <row r="42" spans="1:5" x14ac:dyDescent="0.2">
      <c r="A42" s="340" t="s">
        <v>4228</v>
      </c>
      <c r="B42" s="414" t="s">
        <v>4229</v>
      </c>
      <c r="C42" s="414" t="s">
        <v>4230</v>
      </c>
      <c r="D42" s="414" t="s">
        <v>4227</v>
      </c>
      <c r="E42" s="414" t="s">
        <v>246</v>
      </c>
    </row>
    <row r="43" spans="1:5" x14ac:dyDescent="0.2">
      <c r="A43" s="340" t="s">
        <v>4231</v>
      </c>
      <c r="B43" s="414" t="s">
        <v>4232</v>
      </c>
      <c r="C43" s="414" t="s">
        <v>4230</v>
      </c>
      <c r="D43" s="414" t="s">
        <v>4227</v>
      </c>
      <c r="E43" s="414" t="s">
        <v>246</v>
      </c>
    </row>
    <row r="46" spans="1:5" x14ac:dyDescent="0.2">
      <c r="B46" s="355" t="s">
        <v>4233</v>
      </c>
    </row>
    <row r="47" spans="1:5" x14ac:dyDescent="0.2">
      <c r="B47" s="347" t="s">
        <v>1149</v>
      </c>
      <c r="C47" s="348" t="s">
        <v>4234</v>
      </c>
    </row>
    <row r="48" spans="1:5" x14ac:dyDescent="0.2">
      <c r="B48" s="347" t="s">
        <v>4235</v>
      </c>
      <c r="C48" s="356" t="s">
        <v>4236</v>
      </c>
    </row>
    <row r="50" spans="2:5" x14ac:dyDescent="0.2">
      <c r="B50" s="357" t="s">
        <v>4237</v>
      </c>
      <c r="C50" s="357" t="s">
        <v>4238</v>
      </c>
      <c r="D50" s="357" t="s">
        <v>4152</v>
      </c>
      <c r="E50" s="357" t="s">
        <v>386</v>
      </c>
    </row>
    <row r="51" spans="2:5" x14ac:dyDescent="0.2">
      <c r="B51" s="348" t="s">
        <v>4239</v>
      </c>
      <c r="C51" s="348" t="s">
        <v>4240</v>
      </c>
      <c r="D51" s="348" t="s">
        <v>4223</v>
      </c>
      <c r="E51" s="356" t="s">
        <v>4241</v>
      </c>
    </row>
    <row r="52" spans="2:5" x14ac:dyDescent="0.2">
      <c r="B52" s="348" t="s">
        <v>4242</v>
      </c>
      <c r="C52" s="348" t="s">
        <v>4243</v>
      </c>
      <c r="D52" s="348" t="s">
        <v>4223</v>
      </c>
      <c r="E52" s="356" t="s">
        <v>4241</v>
      </c>
    </row>
    <row r="53" spans="2:5" x14ac:dyDescent="0.2">
      <c r="B53" s="348" t="s">
        <v>4244</v>
      </c>
      <c r="C53" s="348" t="s">
        <v>4245</v>
      </c>
      <c r="D53" s="348" t="s">
        <v>4223</v>
      </c>
      <c r="E53" s="356" t="s">
        <v>4241</v>
      </c>
    </row>
    <row r="54" spans="2:5" x14ac:dyDescent="0.2">
      <c r="B54" s="348" t="s">
        <v>4246</v>
      </c>
      <c r="C54" s="348" t="s">
        <v>4247</v>
      </c>
      <c r="D54" s="348" t="s">
        <v>4223</v>
      </c>
      <c r="E54" s="356" t="s">
        <v>4241</v>
      </c>
    </row>
    <row r="55" spans="2:5" x14ac:dyDescent="0.2">
      <c r="B55" s="348" t="s">
        <v>4248</v>
      </c>
      <c r="C55" s="348" t="s">
        <v>4249</v>
      </c>
      <c r="D55" s="348" t="s">
        <v>4250</v>
      </c>
      <c r="E55" s="356" t="s">
        <v>4241</v>
      </c>
    </row>
    <row r="56" spans="2:5" x14ac:dyDescent="0.2">
      <c r="B56" s="348" t="s">
        <v>4251</v>
      </c>
      <c r="C56" s="348" t="s">
        <v>4252</v>
      </c>
      <c r="D56" s="348" t="s">
        <v>4250</v>
      </c>
      <c r="E56" s="356" t="s">
        <v>4241</v>
      </c>
    </row>
    <row r="57" spans="2:5" x14ac:dyDescent="0.2">
      <c r="B57" s="348" t="s">
        <v>4253</v>
      </c>
      <c r="C57" s="348" t="s">
        <v>4254</v>
      </c>
      <c r="D57" s="348" t="s">
        <v>4255</v>
      </c>
      <c r="E57" s="356" t="s">
        <v>4241</v>
      </c>
    </row>
    <row r="59" spans="2:5" x14ac:dyDescent="0.2">
      <c r="B59" s="355" t="s">
        <v>4256</v>
      </c>
    </row>
    <row r="60" spans="2:5" ht="18.75" customHeight="1" x14ac:dyDescent="0.25">
      <c r="B60" s="347" t="s">
        <v>271</v>
      </c>
      <c r="C60" s="358" t="s">
        <v>4257</v>
      </c>
      <c r="D60" s="348" t="s">
        <v>4258</v>
      </c>
    </row>
    <row r="61" spans="2:5" x14ac:dyDescent="0.2">
      <c r="B61" s="347" t="s">
        <v>4259</v>
      </c>
      <c r="C61" s="348" t="s">
        <v>4260</v>
      </c>
    </row>
    <row r="63" spans="2:5" x14ac:dyDescent="0.2">
      <c r="B63" s="347" t="s">
        <v>4261</v>
      </c>
    </row>
    <row r="64" spans="2:5" x14ac:dyDescent="0.2">
      <c r="B64" s="357" t="s">
        <v>4262</v>
      </c>
      <c r="C64" s="357" t="s">
        <v>4263</v>
      </c>
      <c r="D64" s="357" t="s">
        <v>4264</v>
      </c>
      <c r="E64" s="357" t="s">
        <v>4265</v>
      </c>
    </row>
    <row r="65" spans="2:5" x14ac:dyDescent="0.2">
      <c r="B65" s="348" t="s">
        <v>4266</v>
      </c>
      <c r="C65" s="348" t="s">
        <v>4267</v>
      </c>
      <c r="D65" s="348" t="s">
        <v>4268</v>
      </c>
      <c r="E65" s="348" t="s">
        <v>4269</v>
      </c>
    </row>
    <row r="66" spans="2:5" x14ac:dyDescent="0.2">
      <c r="B66" s="348" t="s">
        <v>4270</v>
      </c>
      <c r="C66" s="348" t="s">
        <v>4271</v>
      </c>
      <c r="D66" s="348" t="s">
        <v>4272</v>
      </c>
      <c r="E66" s="348" t="s">
        <v>4273</v>
      </c>
    </row>
    <row r="67" spans="2:5" x14ac:dyDescent="0.2">
      <c r="B67" s="348" t="s">
        <v>4274</v>
      </c>
      <c r="C67" s="348" t="s">
        <v>4275</v>
      </c>
      <c r="D67" s="348" t="s">
        <v>4276</v>
      </c>
      <c r="E67" s="348" t="s">
        <v>4277</v>
      </c>
    </row>
    <row r="68" spans="2:5" x14ac:dyDescent="0.2">
      <c r="B68" s="348" t="s">
        <v>4278</v>
      </c>
      <c r="C68" s="348" t="s">
        <v>4279</v>
      </c>
      <c r="D68" s="348" t="s">
        <v>4280</v>
      </c>
      <c r="E68" s="348" t="s">
        <v>4281</v>
      </c>
    </row>
    <row r="70" spans="2:5" x14ac:dyDescent="0.2">
      <c r="B70" s="354" t="s">
        <v>4282</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34"/>
  <sheetViews>
    <sheetView showGridLines="0" workbookViewId="0"/>
  </sheetViews>
  <sheetFormatPr defaultRowHeight="15" x14ac:dyDescent="0.2"/>
  <cols>
    <col min="1" max="1" width="34.97265625" style="396" customWidth="1"/>
    <col min="2" max="2" width="55.01953125" style="396" customWidth="1"/>
    <col min="3" max="4" width="14.9296875" style="396" customWidth="1"/>
    <col min="5" max="5" width="20.04296875" style="396" customWidth="1"/>
    <col min="6" max="6" width="18.0234375" style="396" customWidth="1"/>
    <col min="7" max="8" width="13.98828125" style="396" customWidth="1"/>
    <col min="9" max="9" width="29.99609375" style="396" customWidth="1"/>
  </cols>
  <sheetData>
    <row r="1" spans="1:5" x14ac:dyDescent="0.2">
      <c r="A1" s="439" t="s">
        <v>4283</v>
      </c>
      <c r="B1" s="416"/>
      <c r="C1" s="416"/>
      <c r="D1" s="416"/>
      <c r="E1" s="416"/>
    </row>
    <row r="2" spans="1:5" x14ac:dyDescent="0.2">
      <c r="A2" s="434" t="s">
        <v>4284</v>
      </c>
      <c r="B2" s="416"/>
      <c r="C2" s="416"/>
      <c r="D2" s="416"/>
      <c r="E2" s="416"/>
    </row>
    <row r="3" spans="1:5" x14ac:dyDescent="0.2">
      <c r="A3" s="434" t="s">
        <v>4148</v>
      </c>
      <c r="B3" s="416"/>
      <c r="C3" s="416"/>
      <c r="D3" s="416"/>
      <c r="E3" s="416"/>
    </row>
    <row r="5" spans="1:5" x14ac:dyDescent="0.2">
      <c r="A5" s="339" t="s">
        <v>4149</v>
      </c>
      <c r="B5" s="339" t="s">
        <v>4150</v>
      </c>
      <c r="C5" s="339" t="s">
        <v>4151</v>
      </c>
      <c r="D5" s="339" t="s">
        <v>4152</v>
      </c>
      <c r="E5" s="339" t="s">
        <v>4153</v>
      </c>
    </row>
    <row r="6" spans="1:5" x14ac:dyDescent="0.2">
      <c r="A6" s="520" t="s">
        <v>4285</v>
      </c>
      <c r="B6" s="521"/>
      <c r="C6" s="521"/>
      <c r="D6" s="521"/>
      <c r="E6" s="521"/>
    </row>
    <row r="7" spans="1:5" x14ac:dyDescent="0.2">
      <c r="A7" s="340" t="s">
        <v>4159</v>
      </c>
      <c r="B7" s="414" t="s">
        <v>4286</v>
      </c>
      <c r="C7" s="414" t="s">
        <v>4157</v>
      </c>
      <c r="D7" s="414" t="s">
        <v>4158</v>
      </c>
      <c r="E7" s="414" t="s">
        <v>246</v>
      </c>
    </row>
    <row r="8" spans="1:5" x14ac:dyDescent="0.2">
      <c r="A8" s="340" t="s">
        <v>4287</v>
      </c>
      <c r="B8" s="414" t="s">
        <v>4288</v>
      </c>
      <c r="C8" s="414" t="s">
        <v>4157</v>
      </c>
      <c r="D8" s="414" t="s">
        <v>4158</v>
      </c>
      <c r="E8" s="414" t="s">
        <v>246</v>
      </c>
    </row>
    <row r="9" spans="1:5" x14ac:dyDescent="0.2">
      <c r="A9" s="340" t="s">
        <v>4161</v>
      </c>
      <c r="B9" s="414" t="s">
        <v>4289</v>
      </c>
      <c r="C9" s="414" t="s">
        <v>4163</v>
      </c>
      <c r="D9" s="414" t="s">
        <v>4158</v>
      </c>
      <c r="E9" s="414" t="s">
        <v>246</v>
      </c>
    </row>
    <row r="10" spans="1:5" x14ac:dyDescent="0.2">
      <c r="A10" s="340" t="s">
        <v>4164</v>
      </c>
      <c r="B10" s="414" t="s">
        <v>4290</v>
      </c>
      <c r="C10" s="414" t="s">
        <v>4163</v>
      </c>
      <c r="D10" s="414" t="s">
        <v>4166</v>
      </c>
      <c r="E10" s="414" t="s">
        <v>246</v>
      </c>
    </row>
    <row r="11" spans="1:5" x14ac:dyDescent="0.2">
      <c r="A11" s="340" t="s">
        <v>4176</v>
      </c>
      <c r="B11" s="414" t="s">
        <v>4291</v>
      </c>
      <c r="C11" s="414" t="s">
        <v>4178</v>
      </c>
      <c r="D11" s="414" t="s">
        <v>4158</v>
      </c>
      <c r="E11" s="414" t="s">
        <v>246</v>
      </c>
    </row>
    <row r="12" spans="1:5" x14ac:dyDescent="0.2">
      <c r="A12" s="340" t="s">
        <v>4174</v>
      </c>
      <c r="B12" s="414" t="s">
        <v>4292</v>
      </c>
      <c r="C12" s="414" t="s">
        <v>4293</v>
      </c>
      <c r="D12" s="414" t="s">
        <v>4158</v>
      </c>
      <c r="E12" s="414" t="s">
        <v>246</v>
      </c>
    </row>
    <row r="13" spans="1:5" x14ac:dyDescent="0.2">
      <c r="A13" s="340" t="s">
        <v>4172</v>
      </c>
      <c r="B13" s="414" t="s">
        <v>4294</v>
      </c>
      <c r="C13" s="414" t="s">
        <v>4293</v>
      </c>
      <c r="D13" s="414" t="s">
        <v>4158</v>
      </c>
      <c r="E13" s="414" t="s">
        <v>246</v>
      </c>
    </row>
    <row r="14" spans="1:5" x14ac:dyDescent="0.2">
      <c r="A14" s="340" t="s">
        <v>4295</v>
      </c>
      <c r="B14" s="414" t="s">
        <v>4296</v>
      </c>
      <c r="C14" s="414" t="s">
        <v>4178</v>
      </c>
      <c r="D14" s="414" t="s">
        <v>4158</v>
      </c>
      <c r="E14" s="414" t="s">
        <v>246</v>
      </c>
    </row>
    <row r="16" spans="1:5" x14ac:dyDescent="0.2">
      <c r="A16" s="520" t="s">
        <v>4181</v>
      </c>
      <c r="B16" s="521"/>
      <c r="C16" s="521"/>
      <c r="D16" s="521"/>
      <c r="E16" s="521"/>
    </row>
    <row r="17" spans="1:5" x14ac:dyDescent="0.2">
      <c r="A17" s="340" t="s">
        <v>4182</v>
      </c>
      <c r="B17" s="414" t="s">
        <v>4183</v>
      </c>
      <c r="C17" s="414" t="s">
        <v>4184</v>
      </c>
      <c r="D17" s="414" t="s">
        <v>4158</v>
      </c>
      <c r="E17" s="414" t="s">
        <v>246</v>
      </c>
    </row>
    <row r="18" spans="1:5" x14ac:dyDescent="0.2">
      <c r="A18" s="340" t="s">
        <v>4185</v>
      </c>
      <c r="B18" s="414" t="s">
        <v>4297</v>
      </c>
      <c r="C18" s="414" t="s">
        <v>4184</v>
      </c>
      <c r="D18" s="414" t="s">
        <v>4158</v>
      </c>
      <c r="E18" s="414" t="s">
        <v>246</v>
      </c>
    </row>
    <row r="19" spans="1:5" x14ac:dyDescent="0.2">
      <c r="A19" s="340" t="s">
        <v>4198</v>
      </c>
      <c r="B19" s="414" t="s">
        <v>4199</v>
      </c>
      <c r="C19" s="414" t="s">
        <v>4200</v>
      </c>
      <c r="D19" s="414" t="s">
        <v>4201</v>
      </c>
      <c r="E19" s="414" t="s">
        <v>246</v>
      </c>
    </row>
    <row r="20" spans="1:5" x14ac:dyDescent="0.2">
      <c r="A20" s="340" t="s">
        <v>4189</v>
      </c>
      <c r="B20" s="414" t="s">
        <v>4298</v>
      </c>
      <c r="C20" s="414" t="s">
        <v>4191</v>
      </c>
      <c r="D20" s="414" t="s">
        <v>4192</v>
      </c>
      <c r="E20" s="414" t="s">
        <v>246</v>
      </c>
    </row>
    <row r="21" spans="1:5" x14ac:dyDescent="0.2">
      <c r="A21" s="340" t="s">
        <v>4202</v>
      </c>
      <c r="B21" s="414" t="s">
        <v>4299</v>
      </c>
      <c r="C21" s="414" t="s">
        <v>4178</v>
      </c>
      <c r="D21" s="414" t="s">
        <v>4158</v>
      </c>
      <c r="E21" s="414" t="s">
        <v>246</v>
      </c>
    </row>
    <row r="23" spans="1:5" x14ac:dyDescent="0.2">
      <c r="A23" s="520" t="s">
        <v>4300</v>
      </c>
      <c r="B23" s="521"/>
      <c r="C23" s="521"/>
      <c r="D23" s="521"/>
      <c r="E23" s="521"/>
    </row>
    <row r="24" spans="1:5" x14ac:dyDescent="0.2">
      <c r="A24" s="340" t="s">
        <v>4209</v>
      </c>
      <c r="B24" s="414" t="s">
        <v>4301</v>
      </c>
      <c r="C24" s="414" t="s">
        <v>4184</v>
      </c>
      <c r="D24" s="414" t="s">
        <v>4158</v>
      </c>
      <c r="E24" s="414" t="s">
        <v>246</v>
      </c>
    </row>
    <row r="26" spans="1:5" x14ac:dyDescent="0.2">
      <c r="A26" s="520" t="s">
        <v>4211</v>
      </c>
      <c r="B26" s="521"/>
      <c r="C26" s="521"/>
      <c r="D26" s="521"/>
      <c r="E26" s="521"/>
    </row>
    <row r="27" spans="1:5" x14ac:dyDescent="0.2">
      <c r="A27" s="340" t="s">
        <v>4212</v>
      </c>
      <c r="B27" s="414" t="s">
        <v>4302</v>
      </c>
      <c r="C27" s="414" t="s">
        <v>4163</v>
      </c>
      <c r="D27" s="414" t="s">
        <v>4214</v>
      </c>
      <c r="E27" s="414" t="s">
        <v>246</v>
      </c>
    </row>
    <row r="28" spans="1:5" x14ac:dyDescent="0.2">
      <c r="A28" s="340" t="s">
        <v>4215</v>
      </c>
      <c r="B28" s="414" t="s">
        <v>4303</v>
      </c>
      <c r="C28" s="414" t="s">
        <v>3663</v>
      </c>
      <c r="D28" s="414" t="s">
        <v>4214</v>
      </c>
      <c r="E28" s="414" t="s">
        <v>246</v>
      </c>
    </row>
    <row r="29" spans="1:5" x14ac:dyDescent="0.2">
      <c r="A29" s="340" t="s">
        <v>4217</v>
      </c>
      <c r="B29" s="414" t="s">
        <v>4304</v>
      </c>
      <c r="C29" s="414" t="s">
        <v>4219</v>
      </c>
      <c r="D29" s="414" t="s">
        <v>4214</v>
      </c>
      <c r="E29" s="414" t="s">
        <v>246</v>
      </c>
    </row>
    <row r="31" spans="1:5" x14ac:dyDescent="0.2">
      <c r="A31" s="520" t="s">
        <v>4220</v>
      </c>
      <c r="B31" s="521"/>
      <c r="C31" s="521"/>
      <c r="D31" s="521"/>
      <c r="E31" s="521"/>
    </row>
    <row r="32" spans="1:5" x14ac:dyDescent="0.2">
      <c r="A32" s="340" t="s">
        <v>4221</v>
      </c>
      <c r="B32" s="414" t="s">
        <v>4305</v>
      </c>
      <c r="C32" s="414" t="s">
        <v>4191</v>
      </c>
      <c r="D32" s="414" t="s">
        <v>4223</v>
      </c>
      <c r="E32" s="414" t="s">
        <v>246</v>
      </c>
    </row>
    <row r="33" spans="1:5" x14ac:dyDescent="0.2">
      <c r="A33" s="340" t="s">
        <v>4224</v>
      </c>
      <c r="B33" s="414" t="s">
        <v>4225</v>
      </c>
      <c r="C33" s="414" t="s">
        <v>4226</v>
      </c>
      <c r="D33" s="414" t="s">
        <v>4227</v>
      </c>
      <c r="E33" s="414" t="s">
        <v>246</v>
      </c>
    </row>
    <row r="34" spans="1:5" x14ac:dyDescent="0.2">
      <c r="A34" s="340" t="s">
        <v>4228</v>
      </c>
      <c r="B34" s="414" t="s">
        <v>4306</v>
      </c>
      <c r="C34" s="414" t="s">
        <v>4230</v>
      </c>
      <c r="D34" s="414" t="s">
        <v>4227</v>
      </c>
      <c r="E34" s="414" t="s">
        <v>246</v>
      </c>
    </row>
  </sheetData>
  <mergeCells count="8">
    <mergeCell ref="A31:E31"/>
    <mergeCell ref="A6:E6"/>
    <mergeCell ref="A3:E3"/>
    <mergeCell ref="A26:E26"/>
    <mergeCell ref="A2:E2"/>
    <mergeCell ref="A16:E16"/>
    <mergeCell ref="A1:E1"/>
    <mergeCell ref="A23:E23"/>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77"/>
  <sheetViews>
    <sheetView showGridLines="0" workbookViewId="0"/>
  </sheetViews>
  <sheetFormatPr defaultRowHeight="15" x14ac:dyDescent="0.2"/>
  <cols>
    <col min="1" max="1" width="2.95703125" style="396" customWidth="1"/>
    <col min="2" max="2" width="6.05078125" style="396" customWidth="1"/>
    <col min="3" max="3" width="36.05078125" style="396" customWidth="1"/>
    <col min="4" max="4" width="41.96875" style="396" customWidth="1"/>
    <col min="5" max="5" width="27.98046875" style="396" customWidth="1"/>
    <col min="6" max="6" width="29.99609375" style="396" customWidth="1"/>
  </cols>
  <sheetData>
    <row r="2" spans="2:6" ht="23.25" customHeight="1" x14ac:dyDescent="0.3">
      <c r="B2" s="258" t="s">
        <v>4307</v>
      </c>
    </row>
    <row r="3" spans="2:6" x14ac:dyDescent="0.2">
      <c r="B3" s="259" t="s">
        <v>4308</v>
      </c>
    </row>
    <row r="4" spans="2:6" x14ac:dyDescent="0.2">
      <c r="B4" s="257" t="s">
        <v>4309</v>
      </c>
    </row>
    <row r="5" spans="2:6" x14ac:dyDescent="0.2">
      <c r="B5" s="257" t="s">
        <v>4310</v>
      </c>
    </row>
    <row r="7" spans="2:6" ht="18.75" customHeight="1" x14ac:dyDescent="0.25">
      <c r="B7" s="263" t="s">
        <v>4311</v>
      </c>
    </row>
    <row r="8" spans="2:6" x14ac:dyDescent="0.2">
      <c r="B8" s="257" t="s">
        <v>4312</v>
      </c>
    </row>
    <row r="9" spans="2:6" x14ac:dyDescent="0.2">
      <c r="B9" s="257" t="s">
        <v>4313</v>
      </c>
    </row>
    <row r="11" spans="2:6" x14ac:dyDescent="0.2">
      <c r="B11" s="260" t="s">
        <v>379</v>
      </c>
      <c r="C11" s="260" t="s">
        <v>4314</v>
      </c>
      <c r="D11" s="260" t="s">
        <v>1772</v>
      </c>
      <c r="E11" s="260" t="s">
        <v>4315</v>
      </c>
      <c r="F11" s="260" t="s">
        <v>4316</v>
      </c>
    </row>
    <row r="12" spans="2:6" ht="25.5" customHeight="1" x14ac:dyDescent="0.2">
      <c r="B12" s="264" t="s">
        <v>4317</v>
      </c>
      <c r="C12" s="264" t="s">
        <v>4318</v>
      </c>
      <c r="D12" s="264" t="s">
        <v>4319</v>
      </c>
      <c r="E12" s="264" t="s">
        <v>4320</v>
      </c>
      <c r="F12" s="264" t="s">
        <v>4321</v>
      </c>
    </row>
    <row r="13" spans="2:6" x14ac:dyDescent="0.2">
      <c r="B13" s="261" t="s">
        <v>4322</v>
      </c>
      <c r="C13" s="261" t="s">
        <v>4323</v>
      </c>
      <c r="D13" s="261" t="s">
        <v>4324</v>
      </c>
      <c r="E13" s="261" t="s">
        <v>4325</v>
      </c>
      <c r="F13" s="261" t="s">
        <v>4326</v>
      </c>
    </row>
    <row r="14" spans="2:6" x14ac:dyDescent="0.2">
      <c r="B14" s="264" t="s">
        <v>4327</v>
      </c>
      <c r="C14" s="264" t="s">
        <v>4328</v>
      </c>
      <c r="D14" s="264" t="s">
        <v>4329</v>
      </c>
      <c r="E14" s="264" t="s">
        <v>4330</v>
      </c>
      <c r="F14" s="264" t="s">
        <v>4331</v>
      </c>
    </row>
    <row r="15" spans="2:6" x14ac:dyDescent="0.2">
      <c r="B15" s="261" t="s">
        <v>4332</v>
      </c>
      <c r="C15" s="261" t="s">
        <v>4333</v>
      </c>
      <c r="D15" s="261" t="s">
        <v>4334</v>
      </c>
      <c r="E15" s="261" t="s">
        <v>4335</v>
      </c>
      <c r="F15" s="261" t="s">
        <v>4336</v>
      </c>
    </row>
    <row r="16" spans="2:6" x14ac:dyDescent="0.2">
      <c r="B16" s="264" t="s">
        <v>4337</v>
      </c>
      <c r="C16" s="264" t="s">
        <v>183</v>
      </c>
      <c r="D16" s="264" t="s">
        <v>4338</v>
      </c>
      <c r="E16" s="264" t="s">
        <v>4339</v>
      </c>
      <c r="F16" s="264" t="s">
        <v>4340</v>
      </c>
    </row>
    <row r="17" spans="2:6" ht="25.5" customHeight="1" x14ac:dyDescent="0.2">
      <c r="B17" s="261" t="s">
        <v>4341</v>
      </c>
      <c r="C17" s="261" t="s">
        <v>4342</v>
      </c>
      <c r="D17" s="261" t="s">
        <v>4343</v>
      </c>
      <c r="E17" s="261" t="s">
        <v>4344</v>
      </c>
      <c r="F17" s="261" t="s">
        <v>4345</v>
      </c>
    </row>
    <row r="18" spans="2:6" x14ac:dyDescent="0.2">
      <c r="B18" s="264" t="s">
        <v>4346</v>
      </c>
      <c r="C18" s="264" t="s">
        <v>4347</v>
      </c>
      <c r="D18" s="264" t="s">
        <v>4348</v>
      </c>
      <c r="E18" s="264" t="s">
        <v>4349</v>
      </c>
      <c r="F18" s="264" t="s">
        <v>4350</v>
      </c>
    </row>
    <row r="19" spans="2:6" ht="25.5" customHeight="1" x14ac:dyDescent="0.2">
      <c r="B19" s="261" t="s">
        <v>4351</v>
      </c>
      <c r="C19" s="261" t="s">
        <v>4352</v>
      </c>
      <c r="D19" s="261" t="s">
        <v>4353</v>
      </c>
      <c r="E19" s="261" t="s">
        <v>4354</v>
      </c>
      <c r="F19" s="261" t="s">
        <v>4355</v>
      </c>
    </row>
    <row r="20" spans="2:6" x14ac:dyDescent="0.2">
      <c r="B20" s="264" t="s">
        <v>4356</v>
      </c>
      <c r="C20" s="264" t="s">
        <v>1488</v>
      </c>
      <c r="D20" s="264" t="s">
        <v>4357</v>
      </c>
      <c r="E20" s="264" t="s">
        <v>4358</v>
      </c>
      <c r="F20" s="264" t="s">
        <v>4359</v>
      </c>
    </row>
    <row r="21" spans="2:6" x14ac:dyDescent="0.2">
      <c r="B21" s="261" t="s">
        <v>4360</v>
      </c>
      <c r="C21" s="261" t="s">
        <v>4361</v>
      </c>
      <c r="D21" s="261" t="s">
        <v>4362</v>
      </c>
      <c r="E21" s="261" t="s">
        <v>4363</v>
      </c>
      <c r="F21" s="261" t="s">
        <v>4364</v>
      </c>
    </row>
    <row r="22" spans="2:6" ht="25.5" customHeight="1" x14ac:dyDescent="0.2">
      <c r="B22" s="264" t="s">
        <v>4365</v>
      </c>
      <c r="C22" s="264" t="s">
        <v>4366</v>
      </c>
      <c r="D22" s="264" t="s">
        <v>4367</v>
      </c>
      <c r="E22" s="264" t="s">
        <v>4368</v>
      </c>
      <c r="F22" s="264" t="s">
        <v>4369</v>
      </c>
    </row>
    <row r="23" spans="2:6" x14ac:dyDescent="0.2">
      <c r="B23" s="261" t="s">
        <v>4370</v>
      </c>
      <c r="C23" s="261" t="s">
        <v>4164</v>
      </c>
      <c r="D23" s="261" t="s">
        <v>4371</v>
      </c>
      <c r="E23" s="261" t="s">
        <v>4372</v>
      </c>
      <c r="F23" s="261" t="s">
        <v>4373</v>
      </c>
    </row>
    <row r="24" spans="2:6" ht="25.5" customHeight="1" x14ac:dyDescent="0.2">
      <c r="B24" s="264" t="s">
        <v>4374</v>
      </c>
      <c r="C24" s="264" t="s">
        <v>4375</v>
      </c>
      <c r="D24" s="264" t="s">
        <v>4376</v>
      </c>
      <c r="E24" s="264" t="s">
        <v>4372</v>
      </c>
      <c r="F24" s="264" t="s">
        <v>4377</v>
      </c>
    </row>
    <row r="25" spans="2:6" ht="25.5" customHeight="1" x14ac:dyDescent="0.2">
      <c r="B25" s="261" t="s">
        <v>4378</v>
      </c>
      <c r="C25" s="261" t="s">
        <v>4379</v>
      </c>
      <c r="D25" s="261" t="s">
        <v>4380</v>
      </c>
      <c r="E25" s="261" t="s">
        <v>4381</v>
      </c>
      <c r="F25" s="261" t="s">
        <v>4382</v>
      </c>
    </row>
    <row r="26" spans="2:6" x14ac:dyDescent="0.2">
      <c r="B26" s="264" t="s">
        <v>4383</v>
      </c>
      <c r="C26" s="264" t="s">
        <v>4384</v>
      </c>
      <c r="D26" s="264" t="s">
        <v>4385</v>
      </c>
      <c r="E26" s="264" t="s">
        <v>4386</v>
      </c>
      <c r="F26" s="264" t="s">
        <v>4387</v>
      </c>
    </row>
    <row r="27" spans="2:6" x14ac:dyDescent="0.2">
      <c r="B27" s="261" t="s">
        <v>4388</v>
      </c>
      <c r="C27" s="261" t="s">
        <v>134</v>
      </c>
      <c r="D27" s="261" t="s">
        <v>4389</v>
      </c>
      <c r="E27" s="261" t="s">
        <v>4390</v>
      </c>
      <c r="F27" s="261" t="s">
        <v>4391</v>
      </c>
    </row>
    <row r="28" spans="2:6" x14ac:dyDescent="0.2">
      <c r="B28" s="264" t="s">
        <v>4392</v>
      </c>
      <c r="C28" s="264" t="s">
        <v>4393</v>
      </c>
      <c r="D28" s="264" t="s">
        <v>4394</v>
      </c>
      <c r="E28" s="264" t="s">
        <v>4395</v>
      </c>
      <c r="F28" s="264" t="s">
        <v>4396</v>
      </c>
    </row>
    <row r="29" spans="2:6" x14ac:dyDescent="0.2">
      <c r="B29" s="261" t="s">
        <v>4397</v>
      </c>
      <c r="C29" s="261" t="s">
        <v>4398</v>
      </c>
      <c r="D29" s="261" t="s">
        <v>4399</v>
      </c>
      <c r="E29" s="261" t="s">
        <v>4400</v>
      </c>
      <c r="F29" s="261" t="s">
        <v>4401</v>
      </c>
    </row>
    <row r="30" spans="2:6" x14ac:dyDescent="0.2">
      <c r="B30" s="264" t="s">
        <v>4402</v>
      </c>
      <c r="C30" s="264" t="s">
        <v>4403</v>
      </c>
      <c r="D30" s="264" t="s">
        <v>4404</v>
      </c>
      <c r="E30" s="264" t="s">
        <v>4405</v>
      </c>
      <c r="F30" s="264" t="s">
        <v>128</v>
      </c>
    </row>
    <row r="31" spans="2:6" x14ac:dyDescent="0.2">
      <c r="B31" s="261" t="s">
        <v>4406</v>
      </c>
      <c r="C31" s="261" t="s">
        <v>4407</v>
      </c>
      <c r="D31" s="261" t="s">
        <v>4408</v>
      </c>
      <c r="E31" s="261" t="s">
        <v>4381</v>
      </c>
      <c r="F31" s="261" t="s">
        <v>4409</v>
      </c>
    </row>
    <row r="34" spans="2:6" ht="18.75" customHeight="1" x14ac:dyDescent="0.25">
      <c r="B34" s="263" t="s">
        <v>4410</v>
      </c>
    </row>
    <row r="35" spans="2:6" x14ac:dyDescent="0.2">
      <c r="B35" s="257" t="s">
        <v>4411</v>
      </c>
    </row>
    <row r="37" spans="2:6" x14ac:dyDescent="0.2">
      <c r="B37" s="260" t="s">
        <v>379</v>
      </c>
      <c r="C37" s="260" t="s">
        <v>4412</v>
      </c>
      <c r="D37" s="260" t="s">
        <v>4413</v>
      </c>
      <c r="E37" s="260" t="s">
        <v>4315</v>
      </c>
      <c r="F37" s="260" t="s">
        <v>4414</v>
      </c>
    </row>
    <row r="38" spans="2:6" ht="37.5" customHeight="1" x14ac:dyDescent="0.2">
      <c r="B38" s="265" t="s">
        <v>2648</v>
      </c>
      <c r="C38" s="265" t="s">
        <v>4415</v>
      </c>
      <c r="D38" s="265" t="s">
        <v>4416</v>
      </c>
      <c r="E38" s="265" t="s">
        <v>4417</v>
      </c>
      <c r="F38" s="265" t="s">
        <v>4418</v>
      </c>
    </row>
    <row r="39" spans="2:6" ht="25.5" customHeight="1" x14ac:dyDescent="0.2">
      <c r="B39" s="261" t="s">
        <v>2651</v>
      </c>
      <c r="C39" s="261" t="s">
        <v>4419</v>
      </c>
      <c r="D39" s="261" t="s">
        <v>4420</v>
      </c>
      <c r="E39" s="261" t="s">
        <v>4421</v>
      </c>
      <c r="F39" s="261" t="s">
        <v>4422</v>
      </c>
    </row>
    <row r="40" spans="2:6" ht="25.5" customHeight="1" x14ac:dyDescent="0.2">
      <c r="B40" s="265" t="s">
        <v>2654</v>
      </c>
      <c r="C40" s="265" t="s">
        <v>4423</v>
      </c>
      <c r="D40" s="265" t="s">
        <v>4424</v>
      </c>
      <c r="E40" s="265" t="s">
        <v>4372</v>
      </c>
      <c r="F40" s="265" t="s">
        <v>4425</v>
      </c>
    </row>
    <row r="41" spans="2:6" ht="25.5" customHeight="1" x14ac:dyDescent="0.2">
      <c r="B41" s="261" t="s">
        <v>2657</v>
      </c>
      <c r="C41" s="261" t="s">
        <v>4426</v>
      </c>
      <c r="D41" s="261" t="s">
        <v>4427</v>
      </c>
      <c r="E41" s="261" t="s">
        <v>4428</v>
      </c>
      <c r="F41" s="261" t="s">
        <v>4429</v>
      </c>
    </row>
    <row r="42" spans="2:6" ht="25.5" customHeight="1" x14ac:dyDescent="0.2">
      <c r="B42" s="265" t="s">
        <v>2660</v>
      </c>
      <c r="C42" s="265" t="s">
        <v>4430</v>
      </c>
      <c r="D42" s="265" t="s">
        <v>4431</v>
      </c>
      <c r="E42" s="265" t="s">
        <v>4390</v>
      </c>
      <c r="F42" s="265" t="s">
        <v>4432</v>
      </c>
    </row>
    <row r="43" spans="2:6" ht="25.5" customHeight="1" x14ac:dyDescent="0.2">
      <c r="B43" s="261" t="s">
        <v>2663</v>
      </c>
      <c r="C43" s="261" t="s">
        <v>4433</v>
      </c>
      <c r="D43" s="261" t="s">
        <v>4434</v>
      </c>
      <c r="E43" s="261" t="s">
        <v>4435</v>
      </c>
      <c r="F43" s="261" t="s">
        <v>4436</v>
      </c>
    </row>
    <row r="44" spans="2:6" ht="25.5" customHeight="1" x14ac:dyDescent="0.2">
      <c r="B44" s="265" t="s">
        <v>2666</v>
      </c>
      <c r="C44" s="265" t="s">
        <v>4437</v>
      </c>
      <c r="D44" s="265" t="s">
        <v>4438</v>
      </c>
      <c r="E44" s="265" t="s">
        <v>4439</v>
      </c>
      <c r="F44" s="265" t="s">
        <v>4440</v>
      </c>
    </row>
    <row r="45" spans="2:6" x14ac:dyDescent="0.2">
      <c r="B45" s="261" t="s">
        <v>2669</v>
      </c>
      <c r="C45" s="261" t="s">
        <v>4441</v>
      </c>
      <c r="D45" s="261" t="s">
        <v>4442</v>
      </c>
      <c r="E45" s="261" t="s">
        <v>4443</v>
      </c>
      <c r="F45" s="261" t="s">
        <v>4444</v>
      </c>
    </row>
    <row r="46" spans="2:6" ht="25.5" customHeight="1" x14ac:dyDescent="0.2">
      <c r="B46" s="265" t="s">
        <v>2672</v>
      </c>
      <c r="C46" s="265" t="s">
        <v>4445</v>
      </c>
      <c r="D46" s="265" t="s">
        <v>4446</v>
      </c>
      <c r="E46" s="265" t="s">
        <v>4381</v>
      </c>
      <c r="F46" s="265" t="s">
        <v>4447</v>
      </c>
    </row>
    <row r="47" spans="2:6" x14ac:dyDescent="0.2">
      <c r="B47" s="261" t="s">
        <v>2675</v>
      </c>
      <c r="C47" s="261" t="s">
        <v>4448</v>
      </c>
      <c r="D47" s="261" t="s">
        <v>4449</v>
      </c>
      <c r="E47" s="261" t="s">
        <v>4450</v>
      </c>
      <c r="F47" s="261" t="s">
        <v>4451</v>
      </c>
    </row>
    <row r="50" spans="2:6" ht="18.75" customHeight="1" x14ac:dyDescent="0.25">
      <c r="B50" s="263" t="s">
        <v>4452</v>
      </c>
    </row>
    <row r="51" spans="2:6" x14ac:dyDescent="0.2">
      <c r="B51" s="257" t="s">
        <v>4453</v>
      </c>
    </row>
    <row r="53" spans="2:6" x14ac:dyDescent="0.2">
      <c r="B53" s="260" t="s">
        <v>379</v>
      </c>
      <c r="C53" s="260" t="s">
        <v>4454</v>
      </c>
      <c r="D53" s="260" t="s">
        <v>4455</v>
      </c>
      <c r="E53" s="260" t="s">
        <v>4315</v>
      </c>
      <c r="F53" s="260" t="s">
        <v>4456</v>
      </c>
    </row>
    <row r="54" spans="2:6" ht="37.5" customHeight="1" x14ac:dyDescent="0.2">
      <c r="B54" s="266" t="s">
        <v>4457</v>
      </c>
      <c r="C54" s="266" t="s">
        <v>4458</v>
      </c>
      <c r="D54" s="266" t="s">
        <v>4459</v>
      </c>
      <c r="E54" s="266" t="s">
        <v>4372</v>
      </c>
      <c r="F54" s="266" t="s">
        <v>4460</v>
      </c>
    </row>
    <row r="55" spans="2:6" ht="37.5" customHeight="1" x14ac:dyDescent="0.2">
      <c r="B55" s="261" t="s">
        <v>4461</v>
      </c>
      <c r="C55" s="261" t="s">
        <v>4462</v>
      </c>
      <c r="D55" s="261" t="s">
        <v>4463</v>
      </c>
      <c r="E55" s="261" t="s">
        <v>4372</v>
      </c>
      <c r="F55" s="261" t="s">
        <v>4464</v>
      </c>
    </row>
    <row r="56" spans="2:6" ht="49.5" customHeight="1" x14ac:dyDescent="0.2">
      <c r="B56" s="266" t="s">
        <v>4465</v>
      </c>
      <c r="C56" s="266" t="s">
        <v>4466</v>
      </c>
      <c r="D56" s="266" t="s">
        <v>4467</v>
      </c>
      <c r="E56" s="266" t="s">
        <v>4372</v>
      </c>
      <c r="F56" s="266" t="s">
        <v>4468</v>
      </c>
    </row>
    <row r="57" spans="2:6" ht="25.5" customHeight="1" x14ac:dyDescent="0.2">
      <c r="B57" s="261" t="s">
        <v>4469</v>
      </c>
      <c r="C57" s="261" t="s">
        <v>4470</v>
      </c>
      <c r="D57" s="261" t="s">
        <v>4471</v>
      </c>
      <c r="E57" s="261" t="s">
        <v>4372</v>
      </c>
      <c r="F57" s="261" t="s">
        <v>4472</v>
      </c>
    </row>
    <row r="58" spans="2:6" ht="37.5" customHeight="1" x14ac:dyDescent="0.2">
      <c r="B58" s="266" t="s">
        <v>4473</v>
      </c>
      <c r="C58" s="266" t="s">
        <v>4474</v>
      </c>
      <c r="D58" s="266" t="s">
        <v>4475</v>
      </c>
      <c r="E58" s="266" t="s">
        <v>4372</v>
      </c>
      <c r="F58" s="266" t="s">
        <v>4476</v>
      </c>
    </row>
    <row r="59" spans="2:6" ht="25.5" customHeight="1" x14ac:dyDescent="0.2">
      <c r="B59" s="261" t="s">
        <v>4477</v>
      </c>
      <c r="C59" s="261" t="s">
        <v>4478</v>
      </c>
      <c r="D59" s="261" t="s">
        <v>4479</v>
      </c>
      <c r="E59" s="261" t="s">
        <v>4372</v>
      </c>
      <c r="F59" s="261" t="s">
        <v>4480</v>
      </c>
    </row>
    <row r="60" spans="2:6" ht="25.5" customHeight="1" x14ac:dyDescent="0.2">
      <c r="B60" s="266" t="s">
        <v>4481</v>
      </c>
      <c r="C60" s="266" t="s">
        <v>4482</v>
      </c>
      <c r="D60" s="266" t="s">
        <v>4483</v>
      </c>
      <c r="E60" s="266" t="s">
        <v>4372</v>
      </c>
      <c r="F60" s="266" t="s">
        <v>4484</v>
      </c>
    </row>
    <row r="61" spans="2:6" ht="25.5" customHeight="1" x14ac:dyDescent="0.2">
      <c r="B61" s="261" t="s">
        <v>4485</v>
      </c>
      <c r="C61" s="261" t="s">
        <v>4486</v>
      </c>
      <c r="D61" s="261" t="s">
        <v>4487</v>
      </c>
      <c r="E61" s="261" t="s">
        <v>4372</v>
      </c>
      <c r="F61" s="261" t="s">
        <v>4488</v>
      </c>
    </row>
    <row r="62" spans="2:6" ht="37.5" customHeight="1" x14ac:dyDescent="0.2">
      <c r="B62" s="266" t="s">
        <v>4489</v>
      </c>
      <c r="C62" s="266" t="s">
        <v>4490</v>
      </c>
      <c r="D62" s="266" t="s">
        <v>4491</v>
      </c>
      <c r="E62" s="266" t="s">
        <v>4372</v>
      </c>
      <c r="F62" s="266" t="s">
        <v>4492</v>
      </c>
    </row>
    <row r="63" spans="2:6" ht="25.5" customHeight="1" x14ac:dyDescent="0.2">
      <c r="B63" s="261" t="s">
        <v>4493</v>
      </c>
      <c r="C63" s="261" t="s">
        <v>4494</v>
      </c>
      <c r="D63" s="261" t="s">
        <v>4495</v>
      </c>
      <c r="E63" s="261" t="s">
        <v>4372</v>
      </c>
      <c r="F63" s="261" t="s">
        <v>4496</v>
      </c>
    </row>
    <row r="64" spans="2:6" ht="49.5" customHeight="1" x14ac:dyDescent="0.2">
      <c r="B64" s="266" t="s">
        <v>4497</v>
      </c>
      <c r="C64" s="266" t="s">
        <v>4498</v>
      </c>
      <c r="D64" s="266" t="s">
        <v>4499</v>
      </c>
      <c r="E64" s="266" t="s">
        <v>4500</v>
      </c>
      <c r="F64" s="266" t="s">
        <v>4501</v>
      </c>
    </row>
    <row r="65" spans="1:6" ht="37.5" customHeight="1" x14ac:dyDescent="0.2">
      <c r="B65" s="261" t="s">
        <v>4502</v>
      </c>
      <c r="C65" s="261" t="s">
        <v>4503</v>
      </c>
      <c r="D65" s="261" t="s">
        <v>4504</v>
      </c>
      <c r="E65" s="261" t="s">
        <v>4435</v>
      </c>
      <c r="F65" s="261" t="s">
        <v>4505</v>
      </c>
    </row>
    <row r="68" spans="1:6" x14ac:dyDescent="0.2">
      <c r="B68" s="267" t="s">
        <v>4506</v>
      </c>
    </row>
    <row r="69" spans="1:6" x14ac:dyDescent="0.2">
      <c r="B69" s="268" t="s">
        <v>4507</v>
      </c>
    </row>
    <row r="70" spans="1:6" x14ac:dyDescent="0.2">
      <c r="B70" s="269" t="s">
        <v>4508</v>
      </c>
    </row>
    <row r="71" spans="1:6" x14ac:dyDescent="0.2">
      <c r="B71" s="270" t="s">
        <v>4509</v>
      </c>
    </row>
    <row r="74" spans="1:6" x14ac:dyDescent="0.2">
      <c r="B74" s="257" t="s">
        <v>853</v>
      </c>
    </row>
    <row r="76" spans="1:6" x14ac:dyDescent="0.2">
      <c r="A76" s="289" t="s">
        <v>4510</v>
      </c>
    </row>
    <row r="77" spans="1:6" ht="39.950000000000003" customHeight="1" x14ac:dyDescent="0.2">
      <c r="A77" s="293" t="s">
        <v>4511</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9"/>
  <sheetViews>
    <sheetView workbookViewId="0"/>
  </sheetViews>
  <sheetFormatPr defaultRowHeight="15" x14ac:dyDescent="0.2"/>
  <cols>
    <col min="1" max="1" width="4.03515625" style="396" customWidth="1"/>
    <col min="2" max="2" width="39.953125" style="396" customWidth="1"/>
    <col min="3" max="3" width="34.97265625" style="396" customWidth="1"/>
    <col min="4" max="4" width="20.04296875" style="396" customWidth="1"/>
    <col min="5" max="5" width="9.953125" style="396" customWidth="1"/>
    <col min="6" max="6" width="20.04296875" style="396" customWidth="1"/>
    <col min="7" max="7" width="45.0625" style="396" customWidth="1"/>
    <col min="8" max="8" width="29.99609375" style="396" customWidth="1"/>
    <col min="9" max="9" width="50.04296875" style="396" customWidth="1"/>
    <col min="10" max="10" width="11.97265625" style="396" customWidth="1"/>
  </cols>
  <sheetData>
    <row r="1" spans="1:10" ht="18.75" customHeight="1" x14ac:dyDescent="0.25">
      <c r="A1" s="383" t="s">
        <v>4512</v>
      </c>
      <c r="B1" s="384"/>
      <c r="C1" s="384"/>
      <c r="D1" s="384"/>
      <c r="E1" s="384"/>
      <c r="F1" s="384"/>
      <c r="G1" s="384"/>
      <c r="H1" s="384"/>
      <c r="I1" s="384"/>
      <c r="J1" s="384"/>
    </row>
    <row r="2" spans="1:10" x14ac:dyDescent="0.2">
      <c r="A2" s="385" t="s">
        <v>4513</v>
      </c>
      <c r="B2" s="384"/>
      <c r="C2" s="384"/>
      <c r="D2" s="384"/>
      <c r="E2" s="384"/>
      <c r="F2" s="384"/>
      <c r="G2" s="384"/>
      <c r="H2" s="384"/>
      <c r="I2" s="384"/>
      <c r="J2" s="384"/>
    </row>
    <row r="3" spans="1:10" x14ac:dyDescent="0.2">
      <c r="A3" s="385" t="s">
        <v>4514</v>
      </c>
      <c r="B3" s="384"/>
      <c r="C3" s="384"/>
      <c r="D3" s="384"/>
      <c r="E3" s="384"/>
      <c r="F3" s="384"/>
      <c r="G3" s="384"/>
      <c r="H3" s="384"/>
      <c r="I3" s="384"/>
      <c r="J3" s="384"/>
    </row>
    <row r="4" spans="1:10" x14ac:dyDescent="0.2">
      <c r="A4" s="384"/>
      <c r="B4" s="384"/>
      <c r="C4" s="384"/>
      <c r="D4" s="384"/>
      <c r="E4" s="384"/>
      <c r="F4" s="384"/>
      <c r="G4" s="384"/>
      <c r="H4" s="384"/>
      <c r="I4" s="384"/>
      <c r="J4" s="384"/>
    </row>
    <row r="5" spans="1:10" x14ac:dyDescent="0.2">
      <c r="A5" s="386" t="s">
        <v>379</v>
      </c>
      <c r="B5" s="386" t="s">
        <v>4515</v>
      </c>
      <c r="C5" s="386" t="s">
        <v>4516</v>
      </c>
      <c r="D5" s="386" t="s">
        <v>1347</v>
      </c>
      <c r="E5" s="386" t="s">
        <v>4517</v>
      </c>
      <c r="F5" s="386" t="s">
        <v>4518</v>
      </c>
      <c r="G5" s="387" t="s">
        <v>4519</v>
      </c>
      <c r="H5" s="387" t="s">
        <v>4520</v>
      </c>
      <c r="I5" s="387" t="s">
        <v>4521</v>
      </c>
      <c r="J5" s="387" t="s">
        <v>363</v>
      </c>
    </row>
    <row r="6" spans="1:10" x14ac:dyDescent="0.2">
      <c r="A6" s="388"/>
      <c r="B6" s="388"/>
      <c r="C6" s="388"/>
      <c r="D6" s="388"/>
      <c r="E6" s="389"/>
      <c r="F6" s="388"/>
      <c r="G6" s="384"/>
      <c r="H6" s="384"/>
      <c r="I6" s="384"/>
      <c r="J6" s="384"/>
    </row>
    <row r="7" spans="1:10" ht="323.25" customHeight="1" x14ac:dyDescent="0.2">
      <c r="A7" s="390" t="s">
        <v>4522</v>
      </c>
      <c r="B7" s="388"/>
      <c r="C7" s="388"/>
      <c r="D7" s="388"/>
      <c r="E7" s="389"/>
      <c r="F7" s="388"/>
      <c r="G7" s="384"/>
      <c r="H7" s="384"/>
      <c r="I7" s="384"/>
      <c r="J7" s="384"/>
    </row>
    <row r="8" spans="1:10" x14ac:dyDescent="0.2">
      <c r="A8" s="388"/>
      <c r="B8" s="388"/>
      <c r="C8" s="388"/>
      <c r="D8" s="388"/>
      <c r="E8" s="389"/>
      <c r="F8" s="388"/>
      <c r="G8" s="384"/>
      <c r="H8" s="384"/>
      <c r="I8" s="384"/>
      <c r="J8" s="384"/>
    </row>
    <row r="9" spans="1:10" x14ac:dyDescent="0.2">
      <c r="A9" s="391" t="s">
        <v>2066</v>
      </c>
      <c r="B9" s="391" t="s">
        <v>4523</v>
      </c>
      <c r="C9" s="391" t="s">
        <v>4524</v>
      </c>
      <c r="D9" s="391" t="s">
        <v>4525</v>
      </c>
      <c r="E9" s="391" t="s">
        <v>4526</v>
      </c>
      <c r="F9" s="391" t="s">
        <v>4527</v>
      </c>
      <c r="G9" s="392" t="s">
        <v>4528</v>
      </c>
      <c r="H9" s="392" t="s">
        <v>4529</v>
      </c>
      <c r="I9" s="392" t="s">
        <v>4530</v>
      </c>
      <c r="J9" s="392" t="s">
        <v>4531</v>
      </c>
    </row>
    <row r="10" spans="1:10" x14ac:dyDescent="0.2">
      <c r="A10" s="391" t="s">
        <v>467</v>
      </c>
      <c r="B10" s="391" t="s">
        <v>4532</v>
      </c>
      <c r="C10" s="391" t="s">
        <v>4533</v>
      </c>
      <c r="D10" s="391" t="s">
        <v>4525</v>
      </c>
      <c r="E10" s="391" t="s">
        <v>4534</v>
      </c>
      <c r="F10" s="391" t="s">
        <v>4535</v>
      </c>
      <c r="G10" s="392" t="s">
        <v>4536</v>
      </c>
      <c r="H10" s="392" t="s">
        <v>4537</v>
      </c>
      <c r="I10" s="392" t="s">
        <v>4538</v>
      </c>
      <c r="J10" s="392" t="s">
        <v>4531</v>
      </c>
    </row>
    <row r="11" spans="1:10" x14ac:dyDescent="0.2">
      <c r="A11" s="391" t="s">
        <v>2079</v>
      </c>
      <c r="B11" s="391" t="s">
        <v>4539</v>
      </c>
      <c r="C11" s="391" t="s">
        <v>4540</v>
      </c>
      <c r="D11" s="391" t="s">
        <v>4525</v>
      </c>
      <c r="E11" s="391" t="s">
        <v>4534</v>
      </c>
      <c r="F11" s="391" t="s">
        <v>4541</v>
      </c>
      <c r="G11" s="392" t="s">
        <v>4542</v>
      </c>
      <c r="H11" s="392" t="s">
        <v>4543</v>
      </c>
      <c r="I11" s="392" t="s">
        <v>4544</v>
      </c>
      <c r="J11" s="392" t="s">
        <v>4531</v>
      </c>
    </row>
    <row r="12" spans="1:10" x14ac:dyDescent="0.2">
      <c r="A12" s="391" t="s">
        <v>2088</v>
      </c>
      <c r="B12" s="391" t="s">
        <v>4545</v>
      </c>
      <c r="C12" s="391" t="s">
        <v>4546</v>
      </c>
      <c r="D12" s="391" t="s">
        <v>4525</v>
      </c>
      <c r="E12" s="391" t="s">
        <v>4547</v>
      </c>
      <c r="F12" s="391" t="s">
        <v>4548</v>
      </c>
      <c r="G12" s="392" t="s">
        <v>4549</v>
      </c>
      <c r="H12" s="392" t="s">
        <v>4550</v>
      </c>
      <c r="I12" s="392" t="s">
        <v>4551</v>
      </c>
      <c r="J12" s="392" t="s">
        <v>4531</v>
      </c>
    </row>
    <row r="13" spans="1:10" x14ac:dyDescent="0.2">
      <c r="A13" s="388"/>
      <c r="B13" s="388"/>
      <c r="C13" s="388"/>
      <c r="D13" s="388"/>
      <c r="E13" s="389"/>
      <c r="F13" s="388"/>
      <c r="G13" s="384"/>
      <c r="H13" s="384"/>
      <c r="I13" s="384"/>
      <c r="J13" s="384"/>
    </row>
    <row r="14" spans="1:10" x14ac:dyDescent="0.2">
      <c r="A14" s="393" t="s">
        <v>4552</v>
      </c>
      <c r="B14" s="384"/>
      <c r="C14" s="384"/>
      <c r="D14" s="384"/>
      <c r="E14" s="384"/>
      <c r="F14" s="384"/>
      <c r="G14" s="384"/>
      <c r="H14" s="384"/>
      <c r="I14" s="384"/>
      <c r="J14" s="384"/>
    </row>
    <row r="15" spans="1:10" x14ac:dyDescent="0.2">
      <c r="A15" s="394"/>
      <c r="B15" s="384"/>
      <c r="C15" s="384"/>
      <c r="D15" s="384"/>
      <c r="E15" s="384"/>
      <c r="F15" s="384"/>
      <c r="G15" s="384"/>
      <c r="H15" s="384"/>
      <c r="I15" s="384"/>
      <c r="J15" s="384"/>
    </row>
    <row r="16" spans="1:10" x14ac:dyDescent="0.2">
      <c r="A16" s="392" t="s">
        <v>2093</v>
      </c>
      <c r="B16" s="392" t="s">
        <v>4553</v>
      </c>
      <c r="C16" s="392" t="s">
        <v>4554</v>
      </c>
      <c r="D16" s="392" t="s">
        <v>4555</v>
      </c>
      <c r="E16" s="392" t="s">
        <v>4556</v>
      </c>
      <c r="F16" s="392" t="s">
        <v>4557</v>
      </c>
      <c r="G16" s="392" t="s">
        <v>4558</v>
      </c>
      <c r="H16" s="392" t="s">
        <v>4559</v>
      </c>
      <c r="I16" s="392" t="s">
        <v>4560</v>
      </c>
      <c r="J16" s="392" t="s">
        <v>4561</v>
      </c>
    </row>
    <row r="17" spans="1:10" x14ac:dyDescent="0.2">
      <c r="A17" s="392" t="s">
        <v>2887</v>
      </c>
      <c r="B17" s="392" t="s">
        <v>4562</v>
      </c>
      <c r="C17" s="392" t="s">
        <v>4563</v>
      </c>
      <c r="D17" s="392" t="s">
        <v>4555</v>
      </c>
      <c r="E17" s="392" t="s">
        <v>4564</v>
      </c>
      <c r="F17" s="392" t="s">
        <v>4557</v>
      </c>
      <c r="G17" s="392" t="s">
        <v>4565</v>
      </c>
      <c r="H17" s="392" t="s">
        <v>4566</v>
      </c>
      <c r="I17" s="392" t="s">
        <v>4567</v>
      </c>
      <c r="J17" s="392" t="s">
        <v>4561</v>
      </c>
    </row>
    <row r="18" spans="1:10" x14ac:dyDescent="0.2">
      <c r="A18" s="392" t="s">
        <v>2891</v>
      </c>
      <c r="B18" s="392" t="s">
        <v>4568</v>
      </c>
      <c r="C18" s="392" t="s">
        <v>4569</v>
      </c>
      <c r="D18" s="392" t="s">
        <v>4555</v>
      </c>
      <c r="E18" s="392" t="s">
        <v>4570</v>
      </c>
      <c r="F18" s="392" t="s">
        <v>4557</v>
      </c>
      <c r="G18" s="392" t="s">
        <v>4571</v>
      </c>
      <c r="H18" s="392" t="s">
        <v>4572</v>
      </c>
      <c r="I18" s="392" t="s">
        <v>4573</v>
      </c>
      <c r="J18" s="392" t="s">
        <v>4561</v>
      </c>
    </row>
    <row r="19" spans="1:10" x14ac:dyDescent="0.2">
      <c r="A19" s="395"/>
      <c r="B19" s="384"/>
      <c r="C19" s="384"/>
      <c r="D19" s="384"/>
      <c r="E19" s="384"/>
      <c r="F19" s="384"/>
      <c r="G19" s="384"/>
      <c r="H19" s="384"/>
      <c r="I19" s="384"/>
      <c r="J19" s="384"/>
    </row>
    <row r="20" spans="1:10" x14ac:dyDescent="0.2">
      <c r="A20" s="393" t="s">
        <v>4574</v>
      </c>
      <c r="B20" s="384"/>
      <c r="C20" s="384"/>
      <c r="D20" s="384"/>
      <c r="E20" s="384"/>
      <c r="F20" s="384"/>
      <c r="G20" s="384"/>
      <c r="H20" s="384"/>
      <c r="I20" s="384"/>
      <c r="J20" s="384"/>
    </row>
    <row r="21" spans="1:10" x14ac:dyDescent="0.2">
      <c r="A21" s="395"/>
      <c r="B21" s="384"/>
      <c r="C21" s="384"/>
      <c r="D21" s="384"/>
      <c r="E21" s="384"/>
      <c r="F21" s="384"/>
      <c r="G21" s="384"/>
      <c r="H21" s="384"/>
      <c r="I21" s="384"/>
      <c r="J21" s="384"/>
    </row>
    <row r="22" spans="1:10" x14ac:dyDescent="0.2">
      <c r="A22" s="392" t="s">
        <v>2895</v>
      </c>
      <c r="B22" s="392" t="s">
        <v>4575</v>
      </c>
      <c r="C22" s="392" t="s">
        <v>4576</v>
      </c>
      <c r="D22" s="392" t="s">
        <v>4577</v>
      </c>
      <c r="E22" s="392" t="s">
        <v>4578</v>
      </c>
      <c r="F22" s="392" t="s">
        <v>4579</v>
      </c>
      <c r="G22" s="392" t="s">
        <v>4580</v>
      </c>
      <c r="H22" s="392" t="s">
        <v>4581</v>
      </c>
      <c r="I22" s="392" t="s">
        <v>4582</v>
      </c>
      <c r="J22" s="392" t="s">
        <v>4583</v>
      </c>
    </row>
    <row r="23" spans="1:10" x14ac:dyDescent="0.2">
      <c r="A23" s="392" t="s">
        <v>2899</v>
      </c>
      <c r="B23" s="392" t="s">
        <v>4584</v>
      </c>
      <c r="C23" s="392" t="s">
        <v>4585</v>
      </c>
      <c r="D23" s="392" t="s">
        <v>4577</v>
      </c>
      <c r="E23" s="392" t="s">
        <v>4586</v>
      </c>
      <c r="F23" s="392" t="s">
        <v>4587</v>
      </c>
      <c r="G23" s="392" t="s">
        <v>4588</v>
      </c>
      <c r="H23" s="392" t="s">
        <v>4589</v>
      </c>
      <c r="I23" s="392" t="s">
        <v>4590</v>
      </c>
      <c r="J23" s="392" t="s">
        <v>4583</v>
      </c>
    </row>
    <row r="24" spans="1:10" x14ac:dyDescent="0.2">
      <c r="A24" s="392" t="s">
        <v>2902</v>
      </c>
      <c r="B24" s="392" t="s">
        <v>4591</v>
      </c>
      <c r="C24" s="392" t="s">
        <v>4592</v>
      </c>
      <c r="D24" s="392" t="s">
        <v>4577</v>
      </c>
      <c r="E24" s="392" t="s">
        <v>4593</v>
      </c>
      <c r="F24" s="392" t="s">
        <v>4579</v>
      </c>
      <c r="G24" s="392" t="s">
        <v>4594</v>
      </c>
      <c r="H24" s="392" t="s">
        <v>4595</v>
      </c>
      <c r="I24" s="392" t="s">
        <v>4596</v>
      </c>
      <c r="J24" s="392" t="s">
        <v>4583</v>
      </c>
    </row>
    <row r="25" spans="1:10" x14ac:dyDescent="0.2">
      <c r="A25" s="384"/>
      <c r="B25" s="384"/>
      <c r="C25" s="384"/>
      <c r="D25" s="384"/>
      <c r="E25" s="384"/>
      <c r="F25" s="384"/>
      <c r="G25" s="384"/>
      <c r="H25" s="384"/>
      <c r="I25" s="384"/>
      <c r="J25" s="384"/>
    </row>
    <row r="26" spans="1:10" x14ac:dyDescent="0.2">
      <c r="A26" s="393" t="s">
        <v>4597</v>
      </c>
      <c r="B26" s="384"/>
      <c r="C26" s="384"/>
      <c r="D26" s="384"/>
      <c r="E26" s="384"/>
      <c r="F26" s="384"/>
      <c r="G26" s="384"/>
      <c r="H26" s="384"/>
      <c r="I26" s="384"/>
      <c r="J26" s="384"/>
    </row>
    <row r="27" spans="1:10" x14ac:dyDescent="0.2">
      <c r="A27" s="384"/>
      <c r="B27" s="384"/>
      <c r="C27" s="384"/>
      <c r="D27" s="384"/>
      <c r="E27" s="384"/>
      <c r="F27" s="384"/>
      <c r="G27" s="384"/>
      <c r="H27" s="384"/>
      <c r="I27" s="384"/>
      <c r="J27" s="384"/>
    </row>
    <row r="28" spans="1:10" x14ac:dyDescent="0.2">
      <c r="A28" s="392" t="s">
        <v>471</v>
      </c>
      <c r="B28" s="392" t="s">
        <v>4598</v>
      </c>
      <c r="C28" s="392" t="s">
        <v>4599</v>
      </c>
      <c r="D28" s="392" t="s">
        <v>4600</v>
      </c>
      <c r="E28" s="392" t="s">
        <v>4601</v>
      </c>
      <c r="F28" s="392" t="s">
        <v>4602</v>
      </c>
      <c r="G28" s="392" t="s">
        <v>4603</v>
      </c>
      <c r="H28" s="392" t="s">
        <v>4604</v>
      </c>
      <c r="I28" s="392" t="s">
        <v>4605</v>
      </c>
      <c r="J28" s="392" t="s">
        <v>4583</v>
      </c>
    </row>
    <row r="29" spans="1:10" x14ac:dyDescent="0.2">
      <c r="A29" s="392" t="s">
        <v>4606</v>
      </c>
      <c r="B29" s="392" t="s">
        <v>4607</v>
      </c>
      <c r="C29" s="392" t="s">
        <v>4608</v>
      </c>
      <c r="D29" s="392" t="s">
        <v>4609</v>
      </c>
      <c r="E29" s="392" t="s">
        <v>4610</v>
      </c>
      <c r="F29" s="392" t="s">
        <v>4611</v>
      </c>
      <c r="G29" s="392" t="s">
        <v>4612</v>
      </c>
      <c r="H29" s="392" t="s">
        <v>4613</v>
      </c>
      <c r="I29" s="392" t="s">
        <v>4614</v>
      </c>
      <c r="J29" s="392" t="s">
        <v>4583</v>
      </c>
    </row>
    <row r="30" spans="1:10" x14ac:dyDescent="0.2">
      <c r="A30" s="392" t="s">
        <v>1736</v>
      </c>
      <c r="B30" s="392" t="s">
        <v>4615</v>
      </c>
      <c r="C30" s="392" t="s">
        <v>4616</v>
      </c>
      <c r="D30" s="392" t="s">
        <v>4609</v>
      </c>
      <c r="E30" s="392" t="s">
        <v>4617</v>
      </c>
      <c r="F30" s="392" t="s">
        <v>4611</v>
      </c>
      <c r="G30" s="392" t="s">
        <v>4618</v>
      </c>
      <c r="H30" s="392" t="s">
        <v>4619</v>
      </c>
      <c r="I30" s="392" t="s">
        <v>4620</v>
      </c>
      <c r="J30" s="392" t="s">
        <v>4583</v>
      </c>
    </row>
    <row r="31" spans="1:10" x14ac:dyDescent="0.2">
      <c r="A31" s="384"/>
      <c r="B31" s="384"/>
      <c r="C31" s="384"/>
      <c r="D31" s="384"/>
      <c r="E31" s="384"/>
      <c r="F31" s="384"/>
      <c r="G31" s="384"/>
      <c r="H31" s="384"/>
      <c r="I31" s="384"/>
      <c r="J31" s="384"/>
    </row>
    <row r="32" spans="1:10" x14ac:dyDescent="0.2">
      <c r="A32" s="393" t="s">
        <v>4621</v>
      </c>
      <c r="B32" s="384"/>
      <c r="C32" s="384"/>
      <c r="D32" s="384"/>
      <c r="E32" s="384"/>
      <c r="F32" s="384"/>
      <c r="G32" s="384"/>
      <c r="H32" s="384"/>
      <c r="I32" s="384"/>
      <c r="J32" s="384"/>
    </row>
    <row r="33" spans="1:10" x14ac:dyDescent="0.2">
      <c r="A33" s="384"/>
      <c r="B33" s="384"/>
      <c r="C33" s="384"/>
      <c r="D33" s="384"/>
      <c r="E33" s="384"/>
      <c r="F33" s="384"/>
      <c r="G33" s="384"/>
      <c r="H33" s="384"/>
      <c r="I33" s="384"/>
      <c r="J33" s="384"/>
    </row>
    <row r="34" spans="1:10" x14ac:dyDescent="0.2">
      <c r="A34" s="392" t="s">
        <v>4622</v>
      </c>
      <c r="B34" s="392" t="s">
        <v>4623</v>
      </c>
      <c r="C34" s="392" t="s">
        <v>4624</v>
      </c>
      <c r="D34" s="392" t="s">
        <v>4625</v>
      </c>
      <c r="E34" s="392" t="s">
        <v>4626</v>
      </c>
      <c r="F34" s="392" t="s">
        <v>4579</v>
      </c>
      <c r="G34" s="392" t="s">
        <v>4627</v>
      </c>
      <c r="H34" s="392" t="s">
        <v>4628</v>
      </c>
      <c r="I34" s="392" t="s">
        <v>4629</v>
      </c>
      <c r="J34" s="392" t="s">
        <v>4583</v>
      </c>
    </row>
    <row r="35" spans="1:10" x14ac:dyDescent="0.2">
      <c r="A35" s="392" t="s">
        <v>4630</v>
      </c>
      <c r="B35" s="392" t="s">
        <v>4631</v>
      </c>
      <c r="C35" s="392" t="s">
        <v>4632</v>
      </c>
      <c r="D35" s="392" t="s">
        <v>4625</v>
      </c>
      <c r="E35" s="392" t="s">
        <v>4626</v>
      </c>
      <c r="F35" s="392" t="s">
        <v>4579</v>
      </c>
      <c r="G35" s="392" t="s">
        <v>4633</v>
      </c>
      <c r="H35" s="392" t="s">
        <v>4634</v>
      </c>
      <c r="I35" s="392" t="s">
        <v>4635</v>
      </c>
      <c r="J35" s="392" t="s">
        <v>4583</v>
      </c>
    </row>
    <row r="36" spans="1:10" x14ac:dyDescent="0.2">
      <c r="A36" s="392" t="s">
        <v>4636</v>
      </c>
      <c r="B36" s="392" t="s">
        <v>4637</v>
      </c>
      <c r="C36" s="392" t="s">
        <v>4638</v>
      </c>
      <c r="D36" s="392" t="s">
        <v>4639</v>
      </c>
      <c r="E36" s="392" t="s">
        <v>4640</v>
      </c>
      <c r="F36" s="392" t="s">
        <v>4641</v>
      </c>
      <c r="G36" s="392" t="s">
        <v>4642</v>
      </c>
      <c r="H36" s="392" t="s">
        <v>4643</v>
      </c>
      <c r="I36" s="392" t="s">
        <v>4644</v>
      </c>
      <c r="J36" s="392" t="s">
        <v>4583</v>
      </c>
    </row>
    <row r="37" spans="1:10" x14ac:dyDescent="0.2">
      <c r="A37" s="384"/>
      <c r="B37" s="384"/>
      <c r="C37" s="384"/>
      <c r="D37" s="384"/>
      <c r="E37" s="384"/>
      <c r="F37" s="384"/>
      <c r="G37" s="384"/>
      <c r="H37" s="384"/>
      <c r="I37" s="384"/>
      <c r="J37" s="384"/>
    </row>
    <row r="38" spans="1:10" x14ac:dyDescent="0.2">
      <c r="A38" s="393" t="s">
        <v>4645</v>
      </c>
      <c r="B38" s="384"/>
      <c r="C38" s="384"/>
      <c r="D38" s="384"/>
      <c r="E38" s="384"/>
      <c r="F38" s="384"/>
      <c r="G38" s="384"/>
      <c r="H38" s="384"/>
      <c r="I38" s="384"/>
      <c r="J38" s="384"/>
    </row>
    <row r="39" spans="1:10" x14ac:dyDescent="0.2">
      <c r="A39" s="384"/>
      <c r="B39" s="384"/>
      <c r="C39" s="384"/>
      <c r="D39" s="384"/>
      <c r="E39" s="384"/>
      <c r="F39" s="384"/>
      <c r="G39" s="384"/>
      <c r="H39" s="384"/>
      <c r="I39" s="384"/>
      <c r="J39" s="384"/>
    </row>
    <row r="40" spans="1:10" x14ac:dyDescent="0.2">
      <c r="A40" s="392" t="s">
        <v>4646</v>
      </c>
      <c r="B40" s="384"/>
      <c r="C40" s="384"/>
      <c r="D40" s="384"/>
      <c r="E40" s="384"/>
      <c r="F40" s="384"/>
      <c r="G40" s="384"/>
      <c r="H40" s="384"/>
      <c r="I40" s="384"/>
      <c r="J40" s="384"/>
    </row>
    <row r="41" spans="1:10" x14ac:dyDescent="0.2">
      <c r="A41" s="392" t="s">
        <v>4647</v>
      </c>
      <c r="B41" s="384"/>
      <c r="C41" s="384"/>
      <c r="D41" s="384"/>
      <c r="E41" s="384"/>
      <c r="F41" s="384"/>
      <c r="G41" s="384"/>
      <c r="H41" s="384"/>
      <c r="I41" s="384"/>
      <c r="J41" s="384"/>
    </row>
    <row r="42" spans="1:10" x14ac:dyDescent="0.2">
      <c r="A42" s="392" t="s">
        <v>4648</v>
      </c>
      <c r="B42" s="384"/>
      <c r="C42" s="384"/>
      <c r="D42" s="384"/>
      <c r="E42" s="384"/>
      <c r="F42" s="384"/>
      <c r="G42" s="384"/>
      <c r="H42" s="384"/>
      <c r="I42" s="384"/>
      <c r="J42" s="384"/>
    </row>
    <row r="43" spans="1:10" x14ac:dyDescent="0.2">
      <c r="A43" s="392" t="s">
        <v>4649</v>
      </c>
      <c r="B43" s="384"/>
      <c r="C43" s="384"/>
      <c r="D43" s="384"/>
      <c r="E43" s="384"/>
      <c r="F43" s="384"/>
      <c r="G43" s="384"/>
      <c r="H43" s="384"/>
      <c r="I43" s="384"/>
      <c r="J43" s="384"/>
    </row>
    <row r="44" spans="1:10" x14ac:dyDescent="0.2">
      <c r="A44" s="392" t="s">
        <v>4650</v>
      </c>
      <c r="B44" s="384"/>
      <c r="C44" s="384"/>
      <c r="D44" s="384"/>
      <c r="E44" s="384"/>
      <c r="F44" s="384"/>
      <c r="G44" s="384"/>
      <c r="H44" s="384"/>
      <c r="I44" s="384"/>
      <c r="J44" s="384"/>
    </row>
    <row r="45" spans="1:10" x14ac:dyDescent="0.2">
      <c r="A45" s="392" t="s">
        <v>4651</v>
      </c>
      <c r="B45" s="384"/>
      <c r="C45" s="384"/>
      <c r="D45" s="384"/>
      <c r="E45" s="384"/>
      <c r="F45" s="384"/>
      <c r="G45" s="384"/>
      <c r="H45" s="384"/>
      <c r="I45" s="384"/>
      <c r="J45" s="384"/>
    </row>
    <row r="46" spans="1:10" x14ac:dyDescent="0.2">
      <c r="A46" s="392" t="s">
        <v>4652</v>
      </c>
      <c r="B46" s="384"/>
      <c r="C46" s="384"/>
      <c r="D46" s="384"/>
      <c r="E46" s="384"/>
      <c r="F46" s="384"/>
      <c r="G46" s="384"/>
      <c r="H46" s="384"/>
      <c r="I46" s="384"/>
      <c r="J46" s="384"/>
    </row>
    <row r="47" spans="1:10" x14ac:dyDescent="0.2">
      <c r="A47" s="392" t="s">
        <v>4653</v>
      </c>
      <c r="B47" s="384"/>
      <c r="C47" s="384"/>
      <c r="D47" s="384"/>
      <c r="E47" s="384"/>
      <c r="F47" s="384"/>
      <c r="G47" s="384"/>
      <c r="H47" s="384"/>
      <c r="I47" s="384"/>
      <c r="J47" s="384"/>
    </row>
    <row r="48" spans="1:10" x14ac:dyDescent="0.2">
      <c r="A48" s="392" t="s">
        <v>4654</v>
      </c>
      <c r="B48" s="384"/>
      <c r="C48" s="384"/>
      <c r="D48" s="384"/>
      <c r="E48" s="384"/>
      <c r="F48" s="384"/>
      <c r="G48" s="384"/>
      <c r="H48" s="384"/>
      <c r="I48" s="384"/>
      <c r="J48" s="384"/>
    </row>
    <row r="49" spans="1:10" x14ac:dyDescent="0.2">
      <c r="A49" s="392" t="s">
        <v>4655</v>
      </c>
      <c r="B49" s="384"/>
      <c r="C49" s="384"/>
      <c r="D49" s="384"/>
      <c r="E49" s="384"/>
      <c r="F49" s="384"/>
      <c r="G49" s="384"/>
      <c r="H49" s="384"/>
      <c r="I49" s="384"/>
      <c r="J49" s="38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47</vt:i4>
      </vt:variant>
      <vt:variant>
        <vt:lpstr>Named Ranges</vt:lpstr>
      </vt:variant>
      <vt:variant>
        <vt:i4>2</vt:i4>
      </vt:variant>
    </vt:vector>
  </HeadingPairs>
  <TitlesOfParts>
    <vt:vector size="49" baseType="lpstr">
      <vt:lpstr>COVER</vt:lpstr>
      <vt:lpstr>INDEX</vt:lpstr>
      <vt:lpstr>INDEX (Print)</vt:lpstr>
      <vt:lpstr>Change Control Log</vt:lpstr>
      <vt:lpstr>UIX Audit Record</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0</cp:revision>
  <dcterms:created xsi:type="dcterms:W3CDTF">2026-06-20T14:03:52Z</dcterms:created>
  <dcterms:modified xsi:type="dcterms:W3CDTF">2026-07-13T23:45:34Z</dcterms:modified>
  <dc:language>en-US</dc:language>
</cp:coreProperties>
</file>