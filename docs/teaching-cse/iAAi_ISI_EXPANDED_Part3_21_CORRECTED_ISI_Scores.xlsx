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6" autoFilterDateGrouping="1"/>
  </bookViews>
  <sheets>
    <sheet xmlns:r="http://schemas.openxmlformats.org/officeDocument/2006/relationships" name="ISI Master Database" sheetId="1" state="visible" r:id="rId1"/>
    <sheet xmlns:r="http://schemas.openxmlformats.org/officeDocument/2006/relationships" name="Part 3 - 21 Infrastructure Projects" sheetId="2" state="visible" r:id="rId2"/>
    <sheet xmlns:r="http://schemas.openxmlformats.org/officeDocument/2006/relationships" name="Education Gap (First Cause)" sheetId="3" state="visible" r:id="rId3"/>
    <sheet xmlns:r="http://schemas.openxmlformats.org/officeDocument/2006/relationships" name="Dyad Taxonomy (Block 617)" sheetId="4" state="visible" r:id="rId4"/>
    <sheet xmlns:r="http://schemas.openxmlformats.org/officeDocument/2006/relationships" name="Relay Coverage Map" sheetId="5" state="visible" r:id="rId5"/>
    <sheet xmlns:r="http://schemas.openxmlformats.org/officeDocument/2006/relationships" name="Formula Reference" sheetId="6" state="visible" r:id="rId6"/>
    <sheet xmlns:r="http://schemas.openxmlformats.org/officeDocument/2006/relationships" name="Scholar Mapping" sheetId="7" state="visible" r:id="rId7"/>
    <sheet xmlns:r="http://schemas.openxmlformats.org/officeDocument/2006/relationships" name="Chronological Flow Guide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Georgia"/>
      <b val="1"/>
      <color rgb="FFFFFFFF"/>
      <sz val="9"/>
    </font>
    <font>
      <name val="Calibri"/>
      <sz val="9"/>
    </font>
    <font>
      <name val="Calibri"/>
      <b val="1"/>
      <sz val="9"/>
    </font>
    <font>
      <name val="Georgia"/>
      <b val="1"/>
      <color rgb="FFFFD700"/>
      <sz val="11"/>
    </font>
    <font>
      <name val="Calibri"/>
      <b val="1"/>
      <sz val="10"/>
    </font>
    <font>
      <name val="Consolas"/>
      <sz val="10"/>
    </font>
    <font>
      <name val="Calibri"/>
      <i val="1"/>
      <sz val="9"/>
    </font>
    <font>
      <name val="Georgia"/>
      <b val="1"/>
      <sz val="10"/>
    </font>
    <font>
      <name val="Calibri"/>
      <i val="1"/>
      <sz val="10"/>
    </font>
    <font>
      <name val="Cormorant Garamond"/>
      <b val="1"/>
      <color rgb="00FFD700"/>
      <sz val="11"/>
    </font>
    <font>
      <name val="Source Sans 3"/>
      <sz val="10"/>
    </font>
    <font>
      <name val="Source Sans 3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0A1628"/>
        <bgColor rgb="FF0A1628"/>
      </patternFill>
    </fill>
    <fill>
      <patternFill patternType="solid">
        <fgColor rgb="FFF5F0E0"/>
        <bgColor rgb="FFF5F0E0"/>
      </patternFill>
    </fill>
    <fill>
      <patternFill patternType="solid">
        <fgColor rgb="FFEDE8D8"/>
        <bgColor rgb="FFEDE8D8"/>
      </patternFill>
    </fill>
    <fill>
      <patternFill patternType="solid">
        <fgColor rgb="FFE8E3D3"/>
        <bgColor rgb="FFE8E3D3"/>
      </patternFill>
    </fill>
    <fill>
      <patternFill patternType="solid">
        <fgColor rgb="FFE3DED0"/>
        <bgColor rgb="FFE3DED0"/>
      </patternFill>
    </fill>
    <fill>
      <patternFill patternType="solid">
        <fgColor rgb="FFDED9CB"/>
        <bgColor rgb="FFDED9CB"/>
      </patternFill>
    </fill>
    <fill>
      <patternFill patternType="solid">
        <fgColor rgb="FFD9D4C6"/>
        <bgColor rgb="FFD9D4C6"/>
      </patternFill>
    </fill>
    <fill>
      <patternFill patternType="solid">
        <fgColor rgb="FFFFFFFF"/>
        <bgColor rgb="FFFFFFFF"/>
      </patternFill>
    </fill>
    <fill>
      <patternFill patternType="solid">
        <fgColor rgb="FFE8F0FF"/>
        <bgColor rgb="FFE8F0FF"/>
      </patternFill>
    </fill>
    <fill>
      <patternFill patternType="solid">
        <fgColor rgb="000A0F2A"/>
        <bgColor rgb="000A0F2A"/>
      </patternFill>
    </fill>
    <fill>
      <patternFill patternType="solid">
        <fgColor rgb="00FFD700"/>
        <bgColor rgb="00FFD700"/>
      </patternFill>
    </fill>
    <fill>
      <patternFill patternType="solid">
        <fgColor rgb="00FF9800"/>
        <bgColor rgb="00FF9800"/>
      </patternFill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wrapText="1"/>
    </xf>
    <xf numFmtId="164" fontId="2" fillId="3" borderId="1" pivotButton="0" quotePrefix="0" xfId="0"/>
    <xf numFmtId="2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4" borderId="1" applyAlignment="1" pivotButton="0" quotePrefix="0" xfId="0">
      <alignment wrapText="1"/>
    </xf>
    <xf numFmtId="164" fontId="2" fillId="4" borderId="1" pivotButton="0" quotePrefix="0" xfId="0"/>
    <xf numFmtId="2" fontId="2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5" borderId="1" applyAlignment="1" pivotButton="0" quotePrefix="0" xfId="0">
      <alignment wrapText="1"/>
    </xf>
    <xf numFmtId="164" fontId="2" fillId="5" borderId="1" pivotButton="0" quotePrefix="0" xfId="0"/>
    <xf numFmtId="2" fontId="2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2" fillId="6" borderId="1" applyAlignment="1" pivotButton="0" quotePrefix="0" xfId="0">
      <alignment wrapText="1"/>
    </xf>
    <xf numFmtId="164" fontId="2" fillId="6" borderId="1" pivotButton="0" quotePrefix="0" xfId="0"/>
    <xf numFmtId="2" fontId="2" fillId="6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2" fillId="7" borderId="1" applyAlignment="1" pivotButton="0" quotePrefix="0" xfId="0">
      <alignment wrapText="1"/>
    </xf>
    <xf numFmtId="164" fontId="2" fillId="7" borderId="1" pivotButton="0" quotePrefix="0" xfId="0"/>
    <xf numFmtId="2" fontId="2" fillId="7" borderId="1" pivotButton="0" quotePrefix="0" xfId="0"/>
    <xf numFmtId="0" fontId="2" fillId="8" borderId="1" pivotButton="0" quotePrefix="0" xfId="0"/>
    <xf numFmtId="0" fontId="3" fillId="8" borderId="1" pivotButton="0" quotePrefix="0" xfId="0"/>
    <xf numFmtId="0" fontId="2" fillId="8" borderId="1" applyAlignment="1" pivotButton="0" quotePrefix="0" xfId="0">
      <alignment wrapText="1"/>
    </xf>
    <xf numFmtId="164" fontId="2" fillId="8" borderId="1" pivotButton="0" quotePrefix="0" xfId="0"/>
    <xf numFmtId="2" fontId="2" fillId="8" borderId="1" pivotButton="0" quotePrefix="0" xfId="0"/>
    <xf numFmtId="0" fontId="2" fillId="9" borderId="1" pivotButton="0" quotePrefix="0" xfId="0"/>
    <xf numFmtId="0" fontId="3" fillId="9" borderId="1" pivotButton="0" quotePrefix="0" xfId="0"/>
    <xf numFmtId="0" fontId="2" fillId="9" borderId="1" applyAlignment="1" pivotButton="0" quotePrefix="0" xfId="0">
      <alignment wrapText="1"/>
    </xf>
    <xf numFmtId="164" fontId="2" fillId="9" borderId="1" pivotButton="0" quotePrefix="0" xfId="0"/>
    <xf numFmtId="2" fontId="2" fillId="9" borderId="1" pivotButton="0" quotePrefix="0" xfId="0"/>
    <xf numFmtId="0" fontId="2" fillId="10" borderId="1" pivotButton="0" quotePrefix="0" xfId="0"/>
    <xf numFmtId="0" fontId="3" fillId="10" borderId="1" pivotButton="0" quotePrefix="0" xfId="0"/>
    <xf numFmtId="0" fontId="2" fillId="10" borderId="1" applyAlignment="1" pivotButton="0" quotePrefix="0" xfId="0">
      <alignment wrapText="1"/>
    </xf>
    <xf numFmtId="164" fontId="2" fillId="10" borderId="1" pivotButton="0" quotePrefix="0" xfId="0"/>
    <xf numFmtId="2" fontId="2" fillId="10" borderId="1" pivotButton="0" quotePrefix="0" xfId="0"/>
    <xf numFmtId="0" fontId="2" fillId="0" borderId="1" applyAlignment="1" pivotButton="0" quotePrefix="0" xfId="0">
      <alignment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/>
    </xf>
    <xf numFmtId="0" fontId="11" fillId="0" borderId="2" pivotButton="0" quotePrefix="0" xfId="0"/>
    <xf numFmtId="2" fontId="11" fillId="0" borderId="2" applyAlignment="1" pivotButton="0" quotePrefix="0" xfId="0">
      <alignment horizontal="center"/>
    </xf>
    <xf numFmtId="0" fontId="12" fillId="12" borderId="2" applyAlignment="1" pivotButton="0" quotePrefix="0" xfId="0">
      <alignment horizontal="center"/>
    </xf>
    <xf numFmtId="0" fontId="12" fillId="13" borderId="2" applyAlignment="1" pivotButton="0" quotePrefix="0" xfId="0">
      <alignment horizontal="center"/>
    </xf>
    <xf numFmtId="0" fontId="12" fillId="14" borderId="2" applyAlignment="1" pivotButton="0" quotePrefix="0" xfId="0">
      <alignment horizontal="center"/>
    </xf>
    <xf numFmtId="0" fontId="12" fillId="15" borderId="2" applyAlignment="1" pivotButton="0" quotePrefix="0" xfId="0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xSplit="3" ySplit="1" topLeftCell="D2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RowHeight="15"/>
  <cols>
    <col width="4.03515625" customWidth="1" min="1" max="1"/>
    <col width="9.953125" customWidth="1" min="2" max="2"/>
    <col width="32.015625" customWidth="1" min="3" max="3"/>
    <col width="9.953125" customWidth="1" min="4" max="4"/>
    <col width="22.05859375" customWidth="1" min="5" max="5"/>
    <col width="25.9609375" customWidth="1" min="6" max="6"/>
    <col width="11.97265625" customWidth="1" min="7" max="7"/>
    <col width="13.98828125" customWidth="1" min="8" max="8"/>
    <col width="37.93359375" customWidth="1" min="9" max="9"/>
    <col width="13.98828125" customWidth="1" min="10" max="10"/>
    <col width="7.93359375" customWidth="1" min="11" max="13"/>
    <col width="9.953125" customWidth="1" min="14" max="15"/>
    <col width="7.93359375" customWidth="1" min="16" max="17"/>
    <col width="9.01171875" customWidth="1" min="18" max="19"/>
    <col width="7.93359375" customWidth="1" min="20" max="20"/>
    <col width="9.953125" customWidth="1" min="21" max="21"/>
    <col width="11.97265625" customWidth="1" min="22" max="24"/>
    <col width="55.01953125" customWidth="1" min="25" max="25"/>
  </cols>
  <sheetData>
    <row r="1" ht="30" customHeight="1">
      <c r="A1" s="1" t="inlineStr">
        <is>
          <t>No.</t>
        </is>
      </c>
      <c r="B1" s="1" t="inlineStr">
        <is>
          <t>Date</t>
        </is>
      </c>
      <c r="C1" s="1" t="inlineStr">
        <is>
          <t>Infrastructure Case</t>
        </is>
      </c>
      <c r="D1" s="1" t="inlineStr">
        <is>
          <t>Zone</t>
        </is>
      </c>
      <c r="E1" s="1" t="inlineStr">
        <is>
          <t>Mode</t>
        </is>
      </c>
      <c r="F1" s="1" t="inlineStr">
        <is>
          <t>Relay(s)</t>
        </is>
      </c>
      <c r="G1" s="1" t="inlineStr">
        <is>
          <t>Surplus Type</t>
        </is>
      </c>
      <c r="H1" s="1" t="inlineStr">
        <is>
          <t>Collapse Vector</t>
        </is>
      </c>
      <c r="I1" s="1" t="inlineStr">
        <is>
          <t>Initiator (Who Built/Controlled)</t>
        </is>
      </c>
      <c r="J1" s="1" t="inlineStr">
        <is>
          <t>Scholar Validated</t>
        </is>
      </c>
      <c r="K1" s="1" t="inlineStr">
        <is>
          <t>A (0.1-10)</t>
        </is>
      </c>
      <c r="L1" s="1" t="inlineStr">
        <is>
          <t>P (0.1-10)</t>
        </is>
      </c>
      <c r="M1" s="1" t="inlineStr">
        <is>
          <t>A×P</t>
        </is>
      </c>
      <c r="N1" s="1" t="inlineStr">
        <is>
          <t>β (Aggregate Physical Drag)</t>
        </is>
      </c>
      <c r="O1" s="1" t="inlineStr">
        <is>
          <t>λ (Aggregate Ethical Drag)</t>
        </is>
      </c>
      <c r="P1" s="1" t="inlineStr">
        <is>
          <t>R_add (β+λ)</t>
        </is>
      </c>
      <c r="Q1" s="1" t="inlineStr">
        <is>
          <t>R_mult (β×λ)</t>
        </is>
      </c>
      <c r="R1" s="1" t="inlineStr">
        <is>
          <t>C_add (A×P / R_add)</t>
        </is>
      </c>
      <c r="S1" s="1" t="inlineStr">
        <is>
          <t>C_mult (A×P / R_mult)</t>
        </is>
      </c>
      <c r="T1" s="1" t="inlineStr">
        <is>
          <t>ρ (C_add / C_mult)</t>
        </is>
      </c>
      <c r="U1" s="1" t="inlineStr">
        <is>
          <t>Traffic Light</t>
        </is>
      </c>
      <c r="V1" s="1" t="inlineStr">
        <is>
          <t>ISI₁ Sustainability</t>
        </is>
      </c>
      <c r="W1" s="1" t="inlineStr">
        <is>
          <t>ISI₂ Survival</t>
        </is>
      </c>
      <c r="X1" s="1" t="inlineStr">
        <is>
          <t>ISI₃ $ignificance</t>
        </is>
      </c>
      <c r="Y1" s="1" t="inlineStr">
        <is>
          <t>Verdict</t>
        </is>
      </c>
    </row>
    <row r="2" ht="23.25" customHeight="1">
      <c r="A2" s="2" t="n">
        <v>1</v>
      </c>
      <c r="B2" s="2" t="inlineStr">
        <is>
          <t>1.5M BCE</t>
        </is>
      </c>
      <c r="C2" s="3" t="inlineStr">
        <is>
          <t>Control of Fire (Homo erectus)</t>
        </is>
      </c>
      <c r="D2" s="2" t="inlineStr">
        <is>
          <t>Universal</t>
        </is>
      </c>
      <c r="E2" s="2" t="inlineStr">
        <is>
          <t>Pre-Mode</t>
        </is>
      </c>
      <c r="F2" s="2" t="inlineStr">
        <is>
          <t>R01 Fire</t>
        </is>
      </c>
      <c r="G2" s="2" t="inlineStr">
        <is>
          <t>Energy</t>
        </is>
      </c>
      <c r="H2" s="2" t="inlineStr">
        <is>
          <t>Conflagration</t>
        </is>
      </c>
      <c r="I2" s="4" t="inlineStr">
        <is>
          <t>Homo erectus (Wonderwerk Cave, South Africa)</t>
        </is>
      </c>
      <c r="J2" s="2" t="inlineStr">
        <is>
          <t>Homer</t>
        </is>
      </c>
      <c r="K2" s="5" t="n">
        <v>9.5</v>
      </c>
      <c r="L2" s="5" t="n">
        <v>9.9</v>
      </c>
      <c r="M2" s="6">
        <f>K2*L2</f>
        <v/>
      </c>
      <c r="N2" s="5" t="n">
        <v>1.5</v>
      </c>
      <c r="O2" s="5" t="n">
        <v>1</v>
      </c>
      <c r="P2" s="6">
        <f>N2+O2</f>
        <v/>
      </c>
      <c r="Q2" s="6">
        <f>N2*O2</f>
        <v/>
      </c>
      <c r="R2" s="6">
        <f>M2/P2</f>
        <v/>
      </c>
      <c r="S2" s="6">
        <f>M2/Q2</f>
        <v/>
      </c>
      <c r="T2" s="6">
        <f>R2/S2</f>
        <v/>
      </c>
      <c r="U2" s="3">
        <f>IF(T2&lt;2,"GREEN",IF(T2&lt;5,"AMBER","RED"))</f>
        <v/>
      </c>
      <c r="V2" s="2" t="inlineStr">
        <is>
          <t>Very High</t>
        </is>
      </c>
      <c r="W2" s="2" t="inlineStr">
        <is>
          <t>Very High</t>
        </is>
      </c>
      <c r="X2" s="2" t="inlineStr">
        <is>
          <t>Very High</t>
        </is>
      </c>
      <c r="Y2" s="4" t="inlineStr">
        <is>
          <t>The original ISI credit — cooking → brain expansion → civilisation itself. Infinite persistence.</t>
        </is>
      </c>
    </row>
    <row r="3">
      <c r="A3" s="2" t="n">
        <v>2</v>
      </c>
      <c r="B3" s="2" t="inlineStr">
        <is>
          <t>10,000 BCE</t>
        </is>
      </c>
      <c r="C3" s="3" t="inlineStr">
        <is>
          <t>Neolithic Fire Agriculture (Slash-and-Burn)</t>
        </is>
      </c>
      <c r="D3" s="2" t="inlineStr">
        <is>
          <t>Universal</t>
        </is>
      </c>
      <c r="E3" s="2" t="inlineStr">
        <is>
          <t>Pre-Mode</t>
        </is>
      </c>
      <c r="F3" s="2" t="inlineStr">
        <is>
          <t>R01 Fire</t>
        </is>
      </c>
      <c r="G3" s="2" t="inlineStr">
        <is>
          <t>Energy</t>
        </is>
      </c>
      <c r="H3" s="2" t="inlineStr">
        <is>
          <t>Conflagration</t>
        </is>
      </c>
      <c r="I3" s="4" t="inlineStr">
        <is>
          <t>Neolithic farming communities (Fertile Crescent)</t>
        </is>
      </c>
      <c r="J3" s="2" t="inlineStr">
        <is>
          <t>Sima Qian</t>
        </is>
      </c>
      <c r="K3" s="5" t="n">
        <v>7</v>
      </c>
      <c r="L3" s="5" t="n">
        <v>8.5</v>
      </c>
      <c r="M3" s="6">
        <f>K3*L3</f>
        <v/>
      </c>
      <c r="N3" s="5" t="n">
        <v>3.5</v>
      </c>
      <c r="O3" s="5" t="n">
        <v>2.5</v>
      </c>
      <c r="P3" s="6">
        <f>N3+O3</f>
        <v/>
      </c>
      <c r="Q3" s="6">
        <f>N3*O3</f>
        <v/>
      </c>
      <c r="R3" s="6">
        <f>M3/P3</f>
        <v/>
      </c>
      <c r="S3" s="6">
        <f>M3/Q3</f>
        <v/>
      </c>
      <c r="T3" s="6">
        <f>R3/S3</f>
        <v/>
      </c>
      <c r="U3" s="3">
        <f>IF(T3&lt;2,"GREEN",IF(T3&lt;5,"AMBER","RED"))</f>
        <v/>
      </c>
      <c r="V3" s="2" t="inlineStr">
        <is>
          <t>Low-Med</t>
        </is>
      </c>
      <c r="W3" s="2" t="inlineStr">
        <is>
          <t>High</t>
        </is>
      </c>
      <c r="X3" s="2" t="inlineStr">
        <is>
          <t>Med</t>
        </is>
      </c>
      <c r="Y3" s="4" t="inlineStr">
        <is>
          <t>Fire as land-clearing tool — enabled agriculture but initiated deforestation cycle.</t>
        </is>
      </c>
    </row>
    <row r="4">
      <c r="A4" s="7" t="n">
        <v>3</v>
      </c>
      <c r="B4" s="7" t="inlineStr">
        <is>
          <t>8000 BCE</t>
        </is>
      </c>
      <c r="C4" s="8" t="inlineStr">
        <is>
          <t>Chinese Continuous Forestry Management</t>
        </is>
      </c>
      <c r="D4" s="7" t="inlineStr">
        <is>
          <t>East</t>
        </is>
      </c>
      <c r="E4" s="7" t="inlineStr">
        <is>
          <t>Build-Refine-Persist</t>
        </is>
      </c>
      <c r="F4" s="7" t="inlineStr">
        <is>
          <t>R02 Tree</t>
        </is>
      </c>
      <c r="G4" s="7" t="inlineStr">
        <is>
          <t>Material</t>
        </is>
      </c>
      <c r="H4" s="7" t="inlineStr">
        <is>
          <t>Consumption</t>
        </is>
      </c>
      <c r="I4" s="9" t="inlineStr">
        <is>
          <t>Yellow River settlements (proto-Chinese civilisation)</t>
        </is>
      </c>
      <c r="J4" s="7" t="inlineStr">
        <is>
          <t>Confucius</t>
        </is>
      </c>
      <c r="K4" s="10" t="n">
        <v>6.5</v>
      </c>
      <c r="L4" s="10" t="n">
        <v>9.5</v>
      </c>
      <c r="M4" s="11">
        <f>K4*L4</f>
        <v/>
      </c>
      <c r="N4" s="10" t="n">
        <v>2.5</v>
      </c>
      <c r="O4" s="10" t="n">
        <v>2</v>
      </c>
      <c r="P4" s="11">
        <f>N4+O4</f>
        <v/>
      </c>
      <c r="Q4" s="11">
        <f>N4*O4</f>
        <v/>
      </c>
      <c r="R4" s="11">
        <f>M4/P4</f>
        <v/>
      </c>
      <c r="S4" s="11">
        <f>M4/Q4</f>
        <v/>
      </c>
      <c r="T4" s="11">
        <f>R4/S4</f>
        <v/>
      </c>
      <c r="U4" s="8">
        <f>IF(T4&lt;2,"GREEN",IF(T4&lt;5,"AMBER","RED"))</f>
        <v/>
      </c>
      <c r="V4" s="7" t="inlineStr">
        <is>
          <t>High</t>
        </is>
      </c>
      <c r="W4" s="7" t="inlineStr">
        <is>
          <t>High</t>
        </is>
      </c>
      <c r="X4" s="7" t="inlineStr">
        <is>
          <t>High</t>
        </is>
      </c>
      <c r="Y4" s="9" t="inlineStr">
        <is>
          <t>12,000 years of managed forestry — East mode persistence. Never lost the relay.</t>
        </is>
      </c>
    </row>
    <row r="5" ht="23.25" customHeight="1">
      <c r="A5" s="7" t="n">
        <v>4</v>
      </c>
      <c r="B5" s="7" t="inlineStr">
        <is>
          <t>3000 BCE</t>
        </is>
      </c>
      <c r="C5" s="8" t="inlineStr">
        <is>
          <t>Cedar of Lebanon Extraction (Phoenicia/Egypt)</t>
        </is>
      </c>
      <c r="D5" s="7" t="inlineStr">
        <is>
          <t>Bridge</t>
        </is>
      </c>
      <c r="E5" s="7" t="inlineStr">
        <is>
          <t>Mobile-Bridge-Extraction</t>
        </is>
      </c>
      <c r="F5" s="7" t="inlineStr">
        <is>
          <t>R02 Tree</t>
        </is>
      </c>
      <c r="G5" s="7" t="inlineStr">
        <is>
          <t>Material</t>
        </is>
      </c>
      <c r="H5" s="7" t="inlineStr">
        <is>
          <t>Consumption</t>
        </is>
      </c>
      <c r="I5" s="9" t="inlineStr">
        <is>
          <t>Phoenicians / Egyptian Pharaohs (Byblos trade)</t>
        </is>
      </c>
      <c r="J5" s="7" t="inlineStr">
        <is>
          <t>Marco Polo</t>
        </is>
      </c>
      <c r="K5" s="10" t="n">
        <v>7.5</v>
      </c>
      <c r="L5" s="10" t="n">
        <v>3</v>
      </c>
      <c r="M5" s="11">
        <f>K5*L5</f>
        <v/>
      </c>
      <c r="N5" s="10" t="n">
        <v>4.5</v>
      </c>
      <c r="O5" s="10" t="n">
        <v>4</v>
      </c>
      <c r="P5" s="11">
        <f>N5+O5</f>
        <v/>
      </c>
      <c r="Q5" s="11">
        <f>N5*O5</f>
        <v/>
      </c>
      <c r="R5" s="11">
        <f>M5/P5</f>
        <v/>
      </c>
      <c r="S5" s="11">
        <f>M5/Q5</f>
        <v/>
      </c>
      <c r="T5" s="11">
        <f>R5/S5</f>
        <v/>
      </c>
      <c r="U5" s="8">
        <f>IF(T5&lt;2,"GREEN",IF(T5&lt;5,"AMBER","RED"))</f>
        <v/>
      </c>
      <c r="V5" s="7" t="inlineStr">
        <is>
          <t>Low</t>
        </is>
      </c>
      <c r="W5" s="7" t="inlineStr">
        <is>
          <t>Med</t>
        </is>
      </c>
      <c r="X5" s="7" t="inlineStr">
        <is>
          <t>High</t>
        </is>
      </c>
      <c r="Y5" s="9" t="inlineStr">
        <is>
          <t>Outrider extraction — deforested Lebanon for ships and temples. ISI₁ catastrophic failure.</t>
        </is>
      </c>
    </row>
    <row r="6">
      <c r="A6" s="12" t="n">
        <v>5</v>
      </c>
      <c r="B6" s="12" t="inlineStr">
        <is>
          <t>2600 BCE</t>
        </is>
      </c>
      <c r="C6" s="13" t="inlineStr">
        <is>
          <t>Indus Valley Urban Grid</t>
        </is>
      </c>
      <c r="D6" s="12" t="inlineStr">
        <is>
          <t>India</t>
        </is>
      </c>
      <c r="E6" s="12" t="inlineStr">
        <is>
          <t>Analytical Integration</t>
        </is>
      </c>
      <c r="F6" s="12" t="inlineStr">
        <is>
          <t>R03 River</t>
        </is>
      </c>
      <c r="G6" s="12" t="inlineStr">
        <is>
          <t>Agricultural</t>
        </is>
      </c>
      <c r="H6" s="12" t="inlineStr">
        <is>
          <t>Climate</t>
        </is>
      </c>
      <c r="I6" s="14" t="inlineStr">
        <is>
          <t>Harappan civilisation (Mohenjo-daro)</t>
        </is>
      </c>
      <c r="J6" s="12" t="inlineStr">
        <is>
          <t>Sima Qian</t>
        </is>
      </c>
      <c r="K6" s="15" t="n">
        <v>6.5</v>
      </c>
      <c r="L6" s="15" t="n">
        <v>8</v>
      </c>
      <c r="M6" s="16">
        <f>K6*L6</f>
        <v/>
      </c>
      <c r="N6" s="15" t="n">
        <v>3.5</v>
      </c>
      <c r="O6" s="15" t="n">
        <v>3</v>
      </c>
      <c r="P6" s="16">
        <f>N6+O6</f>
        <v/>
      </c>
      <c r="Q6" s="16">
        <f>N6*O6</f>
        <v/>
      </c>
      <c r="R6" s="16">
        <f>M6/P6</f>
        <v/>
      </c>
      <c r="S6" s="16">
        <f>M6/Q6</f>
        <v/>
      </c>
      <c r="T6" s="16">
        <f>R6/S6</f>
        <v/>
      </c>
      <c r="U6" s="13">
        <f>IF(T6&lt;2,"GREEN",IF(T6&lt;5,"AMBER","RED"))</f>
        <v/>
      </c>
      <c r="V6" s="12" t="inlineStr">
        <is>
          <t>High</t>
        </is>
      </c>
      <c r="W6" s="12" t="inlineStr">
        <is>
          <t>High</t>
        </is>
      </c>
      <c r="X6" s="12" t="inlineStr">
        <is>
          <t>Med-High</t>
        </is>
      </c>
      <c r="Y6" s="14" t="inlineStr">
        <is>
          <t>Early standardised urban planning — proof that ISI₁+₂ existed 4,600 years ago.</t>
        </is>
      </c>
    </row>
    <row r="7" ht="23.25" customHeight="1">
      <c r="A7" s="12" t="n">
        <v>6</v>
      </c>
      <c r="B7" s="12" t="inlineStr">
        <is>
          <t>700 BCE</t>
        </is>
      </c>
      <c r="C7" s="13" t="inlineStr">
        <is>
          <t>Great Wall of China (continuous system)</t>
        </is>
      </c>
      <c r="D7" s="12" t="inlineStr">
        <is>
          <t>East</t>
        </is>
      </c>
      <c r="E7" s="12" t="inlineStr">
        <is>
          <t>Build-Refine-Persist</t>
        </is>
      </c>
      <c r="F7" s="12" t="inlineStr">
        <is>
          <t>R04 Horse, R05 Roads</t>
        </is>
      </c>
      <c r="G7" s="12" t="inlineStr">
        <is>
          <t>Mobility</t>
        </is>
      </c>
      <c r="H7" s="12" t="inlineStr">
        <is>
          <t>Conflict</t>
        </is>
      </c>
      <c r="I7" s="14" t="inlineStr">
        <is>
          <t>Warring States → Qin Shi Huang → Ming Dynasty (continuous)</t>
        </is>
      </c>
      <c r="J7" s="12" t="inlineStr">
        <is>
          <t>Sun Tzu</t>
        </is>
      </c>
      <c r="K7" s="15" t="n">
        <v>7</v>
      </c>
      <c r="L7" s="15" t="n">
        <v>9.5</v>
      </c>
      <c r="M7" s="16">
        <f>K7*L7</f>
        <v/>
      </c>
      <c r="N7" s="15" t="n">
        <v>5</v>
      </c>
      <c r="O7" s="15" t="n">
        <v>4.5</v>
      </c>
      <c r="P7" s="16">
        <f>N7+O7</f>
        <v/>
      </c>
      <c r="Q7" s="16">
        <f>N7*O7</f>
        <v/>
      </c>
      <c r="R7" s="16">
        <f>M7/P7</f>
        <v/>
      </c>
      <c r="S7" s="16">
        <f>M7/Q7</f>
        <v/>
      </c>
      <c r="T7" s="16">
        <f>R7/S7</f>
        <v/>
      </c>
      <c r="U7" s="13">
        <f>IF(T7&lt;2,"GREEN",IF(T7&lt;5,"AMBER","RED"))</f>
        <v/>
      </c>
      <c r="V7" s="12" t="inlineStr">
        <is>
          <t>Low</t>
        </is>
      </c>
      <c r="W7" s="12" t="inlineStr">
        <is>
          <t>Med-High</t>
        </is>
      </c>
      <c r="X7" s="12" t="inlineStr">
        <is>
          <t>Very High</t>
        </is>
      </c>
      <c r="Y7" s="14" t="inlineStr">
        <is>
          <t>Symbolic persistence dominates — ISI₃ legacy credit across millennia.</t>
        </is>
      </c>
    </row>
    <row r="8" ht="23.25" customHeight="1">
      <c r="A8" s="12" t="n">
        <v>7</v>
      </c>
      <c r="B8" s="12" t="inlineStr">
        <is>
          <t>486 BCE</t>
        </is>
      </c>
      <c r="C8" s="13" t="inlineStr">
        <is>
          <t>Grand Canal (China)</t>
        </is>
      </c>
      <c r="D8" s="12" t="inlineStr">
        <is>
          <t>East</t>
        </is>
      </c>
      <c r="E8" s="12" t="inlineStr">
        <is>
          <t>Build-Refine-Persist</t>
        </is>
      </c>
      <c r="F8" s="12" t="inlineStr">
        <is>
          <t>R03 River</t>
        </is>
      </c>
      <c r="G8" s="12" t="inlineStr">
        <is>
          <t>Agricultural</t>
        </is>
      </c>
      <c r="H8" s="12" t="inlineStr">
        <is>
          <t>Climate</t>
        </is>
      </c>
      <c r="I8" s="14" t="inlineStr">
        <is>
          <t>Sui Dynasty (Emperor Yang) / refined by Yuan, Ming, Qing</t>
        </is>
      </c>
      <c r="J8" s="12" t="inlineStr">
        <is>
          <t>Sima Qian</t>
        </is>
      </c>
      <c r="K8" s="15" t="n">
        <v>7.5</v>
      </c>
      <c r="L8" s="15" t="n">
        <v>9</v>
      </c>
      <c r="M8" s="16">
        <f>K8*L8</f>
        <v/>
      </c>
      <c r="N8" s="15" t="n">
        <v>4</v>
      </c>
      <c r="O8" s="15" t="n">
        <v>3.5</v>
      </c>
      <c r="P8" s="16">
        <f>N8+O8</f>
        <v/>
      </c>
      <c r="Q8" s="16">
        <f>N8*O8</f>
        <v/>
      </c>
      <c r="R8" s="16">
        <f>M8/P8</f>
        <v/>
      </c>
      <c r="S8" s="16">
        <f>M8/Q8</f>
        <v/>
      </c>
      <c r="T8" s="16">
        <f>R8/S8</f>
        <v/>
      </c>
      <c r="U8" s="13">
        <f>IF(T8&lt;2,"GREEN",IF(T8&lt;5,"AMBER","RED"))</f>
        <v/>
      </c>
      <c r="V8" s="12" t="inlineStr">
        <is>
          <t>Med</t>
        </is>
      </c>
      <c r="W8" s="12" t="inlineStr">
        <is>
          <t>Very High</t>
        </is>
      </c>
      <c r="X8" s="12" t="inlineStr">
        <is>
          <t>High</t>
        </is>
      </c>
      <c r="Y8" s="14" t="inlineStr">
        <is>
          <t>Deep integration — food security and internal trade for 2,500 years. Continuous maintenance.</t>
        </is>
      </c>
    </row>
    <row r="9" ht="23.25" customHeight="1">
      <c r="A9" s="12" t="n">
        <v>8</v>
      </c>
      <c r="B9" s="12" t="inlineStr">
        <is>
          <t>312 BCE</t>
        </is>
      </c>
      <c r="C9" s="13" t="inlineStr">
        <is>
          <t>Roman Road Network (Via Appia → system)</t>
        </is>
      </c>
      <c r="D9" s="12" t="inlineStr">
        <is>
          <t>West</t>
        </is>
      </c>
      <c r="E9" s="12" t="inlineStr">
        <is>
          <t>Build-Destroy-Rebuild</t>
        </is>
      </c>
      <c r="F9" s="12" t="inlineStr">
        <is>
          <t>R05 Roads</t>
        </is>
      </c>
      <c r="G9" s="12" t="inlineStr">
        <is>
          <t>Trade</t>
        </is>
      </c>
      <c r="H9" s="12" t="inlineStr">
        <is>
          <t>Conflict</t>
        </is>
      </c>
      <c r="I9" s="14" t="inlineStr">
        <is>
          <t>Roman Republic (Appius Claudius Caecus / Roman legions)</t>
        </is>
      </c>
      <c r="J9" s="12" t="inlineStr">
        <is>
          <t>Aristotle</t>
        </is>
      </c>
      <c r="K9" s="15" t="n">
        <v>8.5</v>
      </c>
      <c r="L9" s="15" t="n">
        <v>5</v>
      </c>
      <c r="M9" s="16">
        <f>K9*L9</f>
        <v/>
      </c>
      <c r="N9" s="15" t="n">
        <v>4.5</v>
      </c>
      <c r="O9" s="15" t="n">
        <v>3.5</v>
      </c>
      <c r="P9" s="16">
        <f>N9+O9</f>
        <v/>
      </c>
      <c r="Q9" s="16">
        <f>N9*O9</f>
        <v/>
      </c>
      <c r="R9" s="16">
        <f>M9/P9</f>
        <v/>
      </c>
      <c r="S9" s="16">
        <f>M9/Q9</f>
        <v/>
      </c>
      <c r="T9" s="16">
        <f>R9/S9</f>
        <v/>
      </c>
      <c r="U9" s="13">
        <f>IF(T9&lt;2,"GREEN",IF(T9&lt;5,"AMBER","RED"))</f>
        <v/>
      </c>
      <c r="V9" s="12" t="inlineStr">
        <is>
          <t>Med</t>
        </is>
      </c>
      <c r="W9" s="12" t="inlineStr">
        <is>
          <t>Med-High</t>
        </is>
      </c>
      <c r="X9" s="12" t="inlineStr">
        <is>
          <t>Very High</t>
        </is>
      </c>
      <c r="Y9" s="14" t="inlineStr">
        <is>
          <t>80,000km network. Standardised width, drainage, milestones. Lost after 476 CE — West mode decay.</t>
        </is>
      </c>
    </row>
    <row r="10">
      <c r="A10" s="12" t="n">
        <v>9</v>
      </c>
      <c r="B10" s="12" t="inlineStr">
        <is>
          <t>200 BCE</t>
        </is>
      </c>
      <c r="C10" s="13" t="inlineStr">
        <is>
          <t>Silk Road Network</t>
        </is>
      </c>
      <c r="D10" s="12" t="inlineStr">
        <is>
          <t>Bridge</t>
        </is>
      </c>
      <c r="E10" s="12" t="inlineStr">
        <is>
          <t>Mobile-Bridge-Extraction</t>
        </is>
      </c>
      <c r="F10" s="12" t="inlineStr">
        <is>
          <t>R04 Horse, R05 Roads, R06 Ships</t>
        </is>
      </c>
      <c r="G10" s="12" t="inlineStr">
        <is>
          <t>Trade</t>
        </is>
      </c>
      <c r="H10" s="12" t="inlineStr">
        <is>
          <t>Conflict</t>
        </is>
      </c>
      <c r="I10" s="14" t="inlineStr">
        <is>
          <t>Steppe Outriders (Xiongnu, Sogdians, later Mongols)</t>
        </is>
      </c>
      <c r="J10" s="12" t="inlineStr">
        <is>
          <t>Marco Polo</t>
        </is>
      </c>
      <c r="K10" s="15" t="n">
        <v>8.5</v>
      </c>
      <c r="L10" s="15" t="n">
        <v>8.5</v>
      </c>
      <c r="M10" s="16">
        <f>K10*L10</f>
        <v/>
      </c>
      <c r="N10" s="15" t="n">
        <v>5</v>
      </c>
      <c r="O10" s="15" t="n">
        <v>4.5</v>
      </c>
      <c r="P10" s="16">
        <f>N10+O10</f>
        <v/>
      </c>
      <c r="Q10" s="16">
        <f>N10*O10</f>
        <v/>
      </c>
      <c r="R10" s="16">
        <f>M10/P10</f>
        <v/>
      </c>
      <c r="S10" s="16">
        <f>M10/Q10</f>
        <v/>
      </c>
      <c r="T10" s="16">
        <f>R10/S10</f>
        <v/>
      </c>
      <c r="U10" s="13">
        <f>IF(T10&lt;2,"GREEN",IF(T10&lt;5,"AMBER","RED"))</f>
        <v/>
      </c>
      <c r="V10" s="12" t="inlineStr">
        <is>
          <t>Med</t>
        </is>
      </c>
      <c r="W10" s="12" t="inlineStr">
        <is>
          <t>Med</t>
        </is>
      </c>
      <c r="X10" s="12" t="inlineStr">
        <is>
          <t>Very High</t>
        </is>
      </c>
      <c r="Y10" s="14" t="inlineStr">
        <is>
          <t>Original Outrider network — connectivity creates surplus across civilisations.</t>
        </is>
      </c>
    </row>
    <row r="11" ht="23.25" customHeight="1">
      <c r="A11" s="12" t="n">
        <v>10</v>
      </c>
      <c r="B11" s="12" t="inlineStr">
        <is>
          <t>30 BCE</t>
        </is>
      </c>
      <c r="C11" s="13" t="inlineStr">
        <is>
          <t>Roman Aqueduct System</t>
        </is>
      </c>
      <c r="D11" s="12" t="inlineStr">
        <is>
          <t>West</t>
        </is>
      </c>
      <c r="E11" s="12" t="inlineStr">
        <is>
          <t>Build-Destroy-Rebuild</t>
        </is>
      </c>
      <c r="F11" s="12" t="inlineStr">
        <is>
          <t>R03 River</t>
        </is>
      </c>
      <c r="G11" s="12" t="inlineStr">
        <is>
          <t>Agricultural</t>
        </is>
      </c>
      <c r="H11" s="12" t="inlineStr">
        <is>
          <t>Climate</t>
        </is>
      </c>
      <c r="I11" s="14" t="inlineStr">
        <is>
          <t>Roman Republic/Empire (Appius Claudius Caecus → Frontinus)</t>
        </is>
      </c>
      <c r="J11" s="12" t="inlineStr">
        <is>
          <t>Aristotle</t>
        </is>
      </c>
      <c r="K11" s="15" t="n">
        <v>8</v>
      </c>
      <c r="L11" s="15" t="n">
        <v>4.5</v>
      </c>
      <c r="M11" s="16">
        <f>K11*L11</f>
        <v/>
      </c>
      <c r="N11" s="15" t="n">
        <v>4</v>
      </c>
      <c r="O11" s="15" t="n">
        <v>3.5</v>
      </c>
      <c r="P11" s="16">
        <f>N11+O11</f>
        <v/>
      </c>
      <c r="Q11" s="16">
        <f>N11*O11</f>
        <v/>
      </c>
      <c r="R11" s="16">
        <f>M11/P11</f>
        <v/>
      </c>
      <c r="S11" s="16">
        <f>M11/Q11</f>
        <v/>
      </c>
      <c r="T11" s="16">
        <f>R11/S11</f>
        <v/>
      </c>
      <c r="U11" s="13">
        <f>IF(T11&lt;2,"GREEN",IF(T11&lt;5,"AMBER","RED"))</f>
        <v/>
      </c>
      <c r="V11" s="12" t="inlineStr">
        <is>
          <t>Med</t>
        </is>
      </c>
      <c r="W11" s="12" t="inlineStr">
        <is>
          <t>Med</t>
        </is>
      </c>
      <c r="X11" s="12" t="inlineStr">
        <is>
          <t>Very High</t>
        </is>
      </c>
      <c r="Y11" s="14" t="inlineStr">
        <is>
          <t>Engineering marvel — 11 aqueducts, 500km total. Lost after 476 CE. West mode: built then decayed.</t>
        </is>
      </c>
    </row>
    <row r="12" ht="23.25" customHeight="1">
      <c r="A12" s="17" t="n">
        <v>11</v>
      </c>
      <c r="B12" s="17" t="inlineStr">
        <is>
          <t>1200 CE</t>
        </is>
      </c>
      <c r="C12" s="18" t="inlineStr">
        <is>
          <t>Mongol Yam (Postal Relay System)</t>
        </is>
      </c>
      <c r="D12" s="17" t="inlineStr">
        <is>
          <t>Bridge</t>
        </is>
      </c>
      <c r="E12" s="17" t="inlineStr">
        <is>
          <t>Mobile-Bridge-Extraction</t>
        </is>
      </c>
      <c r="F12" s="17" t="inlineStr">
        <is>
          <t>R04 Horse</t>
        </is>
      </c>
      <c r="G12" s="17" t="inlineStr">
        <is>
          <t>Mobility</t>
        </is>
      </c>
      <c r="H12" s="17" t="inlineStr">
        <is>
          <t>Conflict</t>
        </is>
      </c>
      <c r="I12" s="19" t="inlineStr">
        <is>
          <t>Genghis Khan / Ögedei Khan (Mongol Empire)</t>
        </is>
      </c>
      <c r="J12" s="17" t="inlineStr">
        <is>
          <t>Sun Tzu</t>
        </is>
      </c>
      <c r="K12" s="20" t="n">
        <v>8</v>
      </c>
      <c r="L12" s="20" t="n">
        <v>4</v>
      </c>
      <c r="M12" s="21">
        <f>K12*L12</f>
        <v/>
      </c>
      <c r="N12" s="20" t="n">
        <v>5.5</v>
      </c>
      <c r="O12" s="20" t="n">
        <v>4</v>
      </c>
      <c r="P12" s="21">
        <f>N12+O12</f>
        <v/>
      </c>
      <c r="Q12" s="21">
        <f>N12*O12</f>
        <v/>
      </c>
      <c r="R12" s="21">
        <f>M12/P12</f>
        <v/>
      </c>
      <c r="S12" s="21">
        <f>M12/Q12</f>
        <v/>
      </c>
      <c r="T12" s="21">
        <f>R12/S12</f>
        <v/>
      </c>
      <c r="U12" s="18">
        <f>IF(T12&lt;2,"GREEN",IF(T12&lt;5,"AMBER","RED"))</f>
        <v/>
      </c>
      <c r="V12" s="17" t="inlineStr">
        <is>
          <t>Low</t>
        </is>
      </c>
      <c r="W12" s="17" t="inlineStr">
        <is>
          <t>Med</t>
        </is>
      </c>
      <c r="X12" s="17" t="inlineStr">
        <is>
          <t>Very High</t>
        </is>
      </c>
      <c r="Y12" s="19" t="inlineStr">
        <is>
          <t>Fastest communication network on Earth for 150 years. Outrider mode at peak amplitude.</t>
        </is>
      </c>
    </row>
    <row r="13" ht="23.25" customHeight="1">
      <c r="A13" s="17" t="n">
        <v>12</v>
      </c>
      <c r="B13" s="17" t="inlineStr">
        <is>
          <t>1405 CE</t>
        </is>
      </c>
      <c r="C13" s="18" t="inlineStr">
        <is>
          <t>Zheng He Treasure Fleet</t>
        </is>
      </c>
      <c r="D13" s="17" t="inlineStr">
        <is>
          <t>East</t>
        </is>
      </c>
      <c r="E13" s="17" t="inlineStr">
        <is>
          <t>Build-Refine-Persist</t>
        </is>
      </c>
      <c r="F13" s="17" t="inlineStr">
        <is>
          <t>R06 Ships</t>
        </is>
      </c>
      <c r="G13" s="17" t="inlineStr">
        <is>
          <t>Maritime</t>
        </is>
      </c>
      <c r="H13" s="17" t="inlineStr">
        <is>
          <t>Consumption</t>
        </is>
      </c>
      <c r="I13" s="19" t="inlineStr">
        <is>
          <t>Ming Dynasty (Admiral Zheng He / Emperor Yongle)</t>
        </is>
      </c>
      <c r="J13" s="17" t="inlineStr">
        <is>
          <t>Sun Tzu</t>
        </is>
      </c>
      <c r="K13" s="20" t="n">
        <v>8.5</v>
      </c>
      <c r="L13" s="20" t="n">
        <v>2.5</v>
      </c>
      <c r="M13" s="21">
        <f>K13*L13</f>
        <v/>
      </c>
      <c r="N13" s="20" t="n">
        <v>3.5</v>
      </c>
      <c r="O13" s="20" t="n">
        <v>4.5</v>
      </c>
      <c r="P13" s="21">
        <f>N13+O13</f>
        <v/>
      </c>
      <c r="Q13" s="21">
        <f>N13*O13</f>
        <v/>
      </c>
      <c r="R13" s="21">
        <f>M13/P13</f>
        <v/>
      </c>
      <c r="S13" s="21">
        <f>M13/Q13</f>
        <v/>
      </c>
      <c r="T13" s="21">
        <f>R13/S13</f>
        <v/>
      </c>
      <c r="U13" s="18">
        <f>IF(T13&lt;2,"GREEN",IF(T13&lt;5,"AMBER","RED"))</f>
        <v/>
      </c>
      <c r="V13" s="17" t="inlineStr">
        <is>
          <t>Med</t>
        </is>
      </c>
      <c r="W13" s="17" t="inlineStr">
        <is>
          <t>Low-Med</t>
        </is>
      </c>
      <c r="X13" s="17" t="inlineStr">
        <is>
          <t>Very High</t>
        </is>
      </c>
      <c r="Y13" s="19" t="inlineStr">
        <is>
          <t>300 ships, 28,000 crew. Largest fleet in history until WWI. Voluntarily withdrawn — East mode restraint.</t>
        </is>
      </c>
    </row>
    <row r="14" ht="23.25" customHeight="1">
      <c r="A14" s="22" t="n">
        <v>13</v>
      </c>
      <c r="B14" s="22" t="inlineStr">
        <is>
          <t>1600 CE</t>
        </is>
      </c>
      <c r="C14" s="23" t="inlineStr">
        <is>
          <t>Dutch East India Company (VOC) Maritime Network</t>
        </is>
      </c>
      <c r="D14" s="22" t="inlineStr">
        <is>
          <t>West</t>
        </is>
      </c>
      <c r="E14" s="22" t="inlineStr">
        <is>
          <t>Build-Destroy-Rebuild</t>
        </is>
      </c>
      <c r="F14" s="22" t="inlineStr">
        <is>
          <t>R06 Ships</t>
        </is>
      </c>
      <c r="G14" s="22" t="inlineStr">
        <is>
          <t>Maritime</t>
        </is>
      </c>
      <c r="H14" s="22" t="inlineStr">
        <is>
          <t>Consumption</t>
        </is>
      </c>
      <c r="I14" s="24" t="inlineStr">
        <is>
          <t>Dutch Republic (VOC shareholders / States-General)</t>
        </is>
      </c>
      <c r="J14" s="22" t="inlineStr">
        <is>
          <t>Marco Polo</t>
        </is>
      </c>
      <c r="K14" s="25" t="n">
        <v>9</v>
      </c>
      <c r="L14" s="25" t="n">
        <v>4</v>
      </c>
      <c r="M14" s="26">
        <f>K14*L14</f>
        <v/>
      </c>
      <c r="N14" s="25" t="n">
        <v>5</v>
      </c>
      <c r="O14" s="25" t="n">
        <v>5.5</v>
      </c>
      <c r="P14" s="26">
        <f>N14+O14</f>
        <v/>
      </c>
      <c r="Q14" s="26">
        <f>N14*O14</f>
        <v/>
      </c>
      <c r="R14" s="26">
        <f>M14/P14</f>
        <v/>
      </c>
      <c r="S14" s="26">
        <f>M14/Q14</f>
        <v/>
      </c>
      <c r="T14" s="26">
        <f>R14/S14</f>
        <v/>
      </c>
      <c r="U14" s="23">
        <f>IF(T14&lt;2,"GREEN",IF(T14&lt;5,"AMBER","RED"))</f>
        <v/>
      </c>
      <c r="V14" s="22" t="inlineStr">
        <is>
          <t>Low</t>
        </is>
      </c>
      <c r="W14" s="22" t="inlineStr">
        <is>
          <t>Med</t>
        </is>
      </c>
      <c r="X14" s="22" t="inlineStr">
        <is>
          <t>Very High</t>
        </is>
      </c>
      <c r="Y14" s="24" t="inlineStr">
        <is>
          <t>First multinational corporation. Extraction mode disguised as trade. ISI₁ catastrophic (colonialism).</t>
        </is>
      </c>
    </row>
    <row r="15" ht="23.25" customHeight="1">
      <c r="A15" s="27" t="n">
        <v>14</v>
      </c>
      <c r="B15" s="27" t="inlineStr">
        <is>
          <t>1780</t>
        </is>
      </c>
      <c r="C15" s="28" t="inlineStr">
        <is>
          <t>Manchester Cotton Mills</t>
        </is>
      </c>
      <c r="D15" s="27" t="inlineStr">
        <is>
          <t>West</t>
        </is>
      </c>
      <c r="E15" s="27" t="inlineStr">
        <is>
          <t>Build-Destroy-Rebuild</t>
        </is>
      </c>
      <c r="F15" s="27" t="inlineStr">
        <is>
          <t>R07 Loom</t>
        </is>
      </c>
      <c r="G15" s="27" t="inlineStr">
        <is>
          <t>Industrial</t>
        </is>
      </c>
      <c r="H15" s="27" t="inlineStr">
        <is>
          <t>Conflagration</t>
        </is>
      </c>
      <c r="I15" s="29" t="inlineStr">
        <is>
          <t>Arkwright, Crompton, Cartwright (Lancashire industrialists)</t>
        </is>
      </c>
      <c r="J15" s="27" t="inlineStr">
        <is>
          <t>Maslow</t>
        </is>
      </c>
      <c r="K15" s="30" t="n">
        <v>8.5</v>
      </c>
      <c r="L15" s="30" t="n">
        <v>5.5</v>
      </c>
      <c r="M15" s="31">
        <f>K15*L15</f>
        <v/>
      </c>
      <c r="N15" s="30" t="n">
        <v>5.5</v>
      </c>
      <c r="O15" s="30" t="n">
        <v>5</v>
      </c>
      <c r="P15" s="31">
        <f>N15+O15</f>
        <v/>
      </c>
      <c r="Q15" s="31">
        <f>N15*O15</f>
        <v/>
      </c>
      <c r="R15" s="31">
        <f>M15/P15</f>
        <v/>
      </c>
      <c r="S15" s="31">
        <f>M15/Q15</f>
        <v/>
      </c>
      <c r="T15" s="31">
        <f>R15/S15</f>
        <v/>
      </c>
      <c r="U15" s="28">
        <f>IF(T15&lt;2,"GREEN",IF(T15&lt;5,"AMBER","RED"))</f>
        <v/>
      </c>
      <c r="V15" s="27" t="inlineStr">
        <is>
          <t>Low</t>
        </is>
      </c>
      <c r="W15" s="27" t="inlineStr">
        <is>
          <t>Med</t>
        </is>
      </c>
      <c r="X15" s="27" t="inlineStr">
        <is>
          <t>High</t>
        </is>
      </c>
      <c r="Y15" s="29" t="inlineStr">
        <is>
          <t>Industrial Revolution ground zero. Massive ISI₂ but catastrophic ISI₁ (child labour, pollution, slums).</t>
        </is>
      </c>
    </row>
    <row r="16" ht="23.25" customHeight="1">
      <c r="A16" s="27" t="n">
        <v>15</v>
      </c>
      <c r="B16" s="27" t="inlineStr">
        <is>
          <t>1801</t>
        </is>
      </c>
      <c r="C16" s="28" t="inlineStr">
        <is>
          <t>Jacquard Loom (Lyon, France)</t>
        </is>
      </c>
      <c r="D16" s="27" t="inlineStr">
        <is>
          <t>West</t>
        </is>
      </c>
      <c r="E16" s="27" t="inlineStr">
        <is>
          <t>Build-Destroy-Rebuild</t>
        </is>
      </c>
      <c r="F16" s="27" t="inlineStr">
        <is>
          <t>R07 Loom</t>
        </is>
      </c>
      <c r="G16" s="27" t="inlineStr">
        <is>
          <t>Industrial</t>
        </is>
      </c>
      <c r="H16" s="27" t="inlineStr">
        <is>
          <t>Conflagration</t>
        </is>
      </c>
      <c r="I16" s="29" t="inlineStr">
        <is>
          <t>Joseph Marie Jacquard (Lyon silk weavers)</t>
        </is>
      </c>
      <c r="J16" s="27" t="inlineStr">
        <is>
          <t>Turing</t>
        </is>
      </c>
      <c r="K16" s="30" t="n">
        <v>8</v>
      </c>
      <c r="L16" s="30" t="n">
        <v>7</v>
      </c>
      <c r="M16" s="31">
        <f>K16*L16</f>
        <v/>
      </c>
      <c r="N16" s="30" t="n">
        <v>3.5</v>
      </c>
      <c r="O16" s="30" t="n">
        <v>3</v>
      </c>
      <c r="P16" s="31">
        <f>N16+O16</f>
        <v/>
      </c>
      <c r="Q16" s="31">
        <f>N16*O16</f>
        <v/>
      </c>
      <c r="R16" s="31">
        <f>M16/P16</f>
        <v/>
      </c>
      <c r="S16" s="31">
        <f>M16/Q16</f>
        <v/>
      </c>
      <c r="T16" s="31">
        <f>R16/S16</f>
        <v/>
      </c>
      <c r="U16" s="28">
        <f>IF(T16&lt;2,"GREEN",IF(T16&lt;5,"AMBER","RED"))</f>
        <v/>
      </c>
      <c r="V16" s="27" t="inlineStr">
        <is>
          <t>Med</t>
        </is>
      </c>
      <c r="W16" s="27" t="inlineStr">
        <is>
          <t>High</t>
        </is>
      </c>
      <c r="X16" s="27" t="inlineStr">
        <is>
          <t>Very High</t>
        </is>
      </c>
      <c r="Y16" s="29" t="inlineStr">
        <is>
          <t>Punch cards → binary logic → Babbage → Turing → computing. The ancestor of all programmable machines.</t>
        </is>
      </c>
    </row>
    <row r="17" ht="23.25" customHeight="1">
      <c r="A17" s="27" t="n">
        <v>16</v>
      </c>
      <c r="B17" s="27" t="inlineStr">
        <is>
          <t>1830</t>
        </is>
      </c>
      <c r="C17" s="28" t="inlineStr">
        <is>
          <t>Liverpool-Manchester Railway</t>
        </is>
      </c>
      <c r="D17" s="27" t="inlineStr">
        <is>
          <t>West</t>
        </is>
      </c>
      <c r="E17" s="27" t="inlineStr">
        <is>
          <t>Build-Destroy-Rebuild</t>
        </is>
      </c>
      <c r="F17" s="27" t="inlineStr">
        <is>
          <t>R08 Rail</t>
        </is>
      </c>
      <c r="G17" s="27" t="inlineStr">
        <is>
          <t>Acceleration</t>
        </is>
      </c>
      <c r="H17" s="27" t="inlineStr">
        <is>
          <t>Conflagration</t>
        </is>
      </c>
      <c r="I17" s="29" t="inlineStr">
        <is>
          <t>George Stephenson / Liverpool merchants</t>
        </is>
      </c>
      <c r="J17" s="27" t="inlineStr">
        <is>
          <t>Aristotle</t>
        </is>
      </c>
      <c r="K17" s="30" t="n">
        <v>7.5</v>
      </c>
      <c r="L17" s="30" t="n">
        <v>6.5</v>
      </c>
      <c r="M17" s="31">
        <f>K17*L17</f>
        <v/>
      </c>
      <c r="N17" s="30" t="n">
        <v>4</v>
      </c>
      <c r="O17" s="30" t="n">
        <v>3.5</v>
      </c>
      <c r="P17" s="31">
        <f>N17+O17</f>
        <v/>
      </c>
      <c r="Q17" s="31">
        <f>N17*O17</f>
        <v/>
      </c>
      <c r="R17" s="31">
        <f>M17/P17</f>
        <v/>
      </c>
      <c r="S17" s="31">
        <f>M17/Q17</f>
        <v/>
      </c>
      <c r="T17" s="31">
        <f>R17/S17</f>
        <v/>
      </c>
      <c r="U17" s="28">
        <f>IF(T17&lt;2,"GREEN",IF(T17&lt;5,"AMBER","RED"))</f>
        <v/>
      </c>
      <c r="V17" s="27" t="inlineStr">
        <is>
          <t>Med</t>
        </is>
      </c>
      <c r="W17" s="27" t="inlineStr">
        <is>
          <t>High</t>
        </is>
      </c>
      <c r="X17" s="27" t="inlineStr">
        <is>
          <t>Very High</t>
        </is>
      </c>
      <c r="Y17" s="29" t="inlineStr">
        <is>
          <t>First inter-city passenger railway. Standardised time, gauge, timetables. Made the modern nation possible.</t>
        </is>
      </c>
    </row>
    <row r="18">
      <c r="A18" s="32" t="n">
        <v>17</v>
      </c>
      <c r="B18" s="32" t="inlineStr">
        <is>
          <t>1936</t>
        </is>
      </c>
      <c r="C18" s="33" t="inlineStr">
        <is>
          <t>Hoover Dam</t>
        </is>
      </c>
      <c r="D18" s="32" t="inlineStr">
        <is>
          <t>West</t>
        </is>
      </c>
      <c r="E18" s="32" t="inlineStr">
        <is>
          <t>Build-Destroy-Rebuild</t>
        </is>
      </c>
      <c r="F18" s="32" t="inlineStr">
        <is>
          <t>R09 Engine, R03 River</t>
        </is>
      </c>
      <c r="G18" s="32" t="inlineStr">
        <is>
          <t>Power</t>
        </is>
      </c>
      <c r="H18" s="32" t="inlineStr">
        <is>
          <t>Climate</t>
        </is>
      </c>
      <c r="I18" s="34" t="inlineStr">
        <is>
          <t>US Bureau of Reclamation (Six Companies consortium)</t>
        </is>
      </c>
      <c r="J18" s="32" t="inlineStr">
        <is>
          <t>Aristotle</t>
        </is>
      </c>
      <c r="K18" s="35" t="n">
        <v>7</v>
      </c>
      <c r="L18" s="35" t="n">
        <v>7.5</v>
      </c>
      <c r="M18" s="36">
        <f>K18*L18</f>
        <v/>
      </c>
      <c r="N18" s="35" t="n">
        <v>4.5</v>
      </c>
      <c r="O18" s="35" t="n">
        <v>3.5</v>
      </c>
      <c r="P18" s="36">
        <f>N18+O18</f>
        <v/>
      </c>
      <c r="Q18" s="36">
        <f>N18*O18</f>
        <v/>
      </c>
      <c r="R18" s="36">
        <f>M18/P18</f>
        <v/>
      </c>
      <c r="S18" s="36">
        <f>M18/Q18</f>
        <v/>
      </c>
      <c r="T18" s="36">
        <f>R18/S18</f>
        <v/>
      </c>
      <c r="U18" s="33">
        <f>IF(T18&lt;2,"GREEN",IF(T18&lt;5,"AMBER","RED"))</f>
        <v/>
      </c>
      <c r="V18" s="32" t="inlineStr">
        <is>
          <t>Low-Med</t>
        </is>
      </c>
      <c r="W18" s="32" t="inlineStr">
        <is>
          <t>High</t>
        </is>
      </c>
      <c r="X18" s="32" t="inlineStr">
        <is>
          <t>High</t>
        </is>
      </c>
      <c r="Y18" s="34" t="inlineStr">
        <is>
          <t>Megaproject trade-offs — ecological cost vs survival and symbolic value.</t>
        </is>
      </c>
    </row>
    <row r="19">
      <c r="A19" s="32" t="n">
        <v>18</v>
      </c>
      <c r="B19" s="32" t="inlineStr">
        <is>
          <t>1948</t>
        </is>
      </c>
      <c r="C19" s="33" t="inlineStr">
        <is>
          <t>Marshall Plan</t>
        </is>
      </c>
      <c r="D19" s="32" t="inlineStr">
        <is>
          <t>West</t>
        </is>
      </c>
      <c r="E19" s="32" t="inlineStr">
        <is>
          <t>Build-Destroy-Rebuild</t>
        </is>
      </c>
      <c r="F19" s="32" t="inlineStr">
        <is>
          <t>R08 Rail, R09 Engine, R10 AAA</t>
        </is>
      </c>
      <c r="G19" s="32" t="inlineStr">
        <is>
          <t>Urban</t>
        </is>
      </c>
      <c r="H19" s="32" t="inlineStr">
        <is>
          <t>Consumption</t>
        </is>
      </c>
      <c r="I19" s="34" t="inlineStr">
        <is>
          <t>US Government (Marshall, Truman, Acheson)</t>
        </is>
      </c>
      <c r="J19" s="32" t="inlineStr">
        <is>
          <t>Maslow</t>
        </is>
      </c>
      <c r="K19" s="35" t="n">
        <v>8.5</v>
      </c>
      <c r="L19" s="35" t="n">
        <v>7.5</v>
      </c>
      <c r="M19" s="36">
        <f>K19*L19</f>
        <v/>
      </c>
      <c r="N19" s="35" t="n">
        <v>5</v>
      </c>
      <c r="O19" s="35" t="n">
        <v>4</v>
      </c>
      <c r="P19" s="36">
        <f>N19+O19</f>
        <v/>
      </c>
      <c r="Q19" s="36">
        <f>N19*O19</f>
        <v/>
      </c>
      <c r="R19" s="36">
        <f>M19/P19</f>
        <v/>
      </c>
      <c r="S19" s="36">
        <f>M19/Q19</f>
        <v/>
      </c>
      <c r="T19" s="36">
        <f>R19/S19</f>
        <v/>
      </c>
      <c r="U19" s="33">
        <f>IF(T19&lt;2,"GREEN",IF(T19&lt;5,"AMBER","RED"))</f>
        <v/>
      </c>
      <c r="V19" s="32" t="inlineStr">
        <is>
          <t>Med</t>
        </is>
      </c>
      <c r="W19" s="32" t="inlineStr">
        <is>
          <t>High</t>
        </is>
      </c>
      <c r="X19" s="32" t="inlineStr">
        <is>
          <t>Very High</t>
        </is>
      </c>
      <c r="Y19" s="34" t="inlineStr">
        <is>
          <t>Rebuilt a continent — $170B (2024$) → 75 years stability. Classic ISI Super-Credit.</t>
        </is>
      </c>
    </row>
    <row r="20">
      <c r="A20" s="32" t="n">
        <v>19</v>
      </c>
      <c r="B20" s="32" t="inlineStr">
        <is>
          <t>1951</t>
        </is>
      </c>
      <c r="C20" s="33" t="inlineStr">
        <is>
          <t>IIT System (India)</t>
        </is>
      </c>
      <c r="D20" s="32" t="inlineStr">
        <is>
          <t>India</t>
        </is>
      </c>
      <c r="E20" s="32" t="inlineStr">
        <is>
          <t>Analytical Integration</t>
        </is>
      </c>
      <c r="F20" s="32" t="inlineStr">
        <is>
          <t>R10 AAA, R12 Human Nodes</t>
        </is>
      </c>
      <c r="G20" s="32" t="inlineStr">
        <is>
          <t>Cognition</t>
        </is>
      </c>
      <c r="H20" s="32" t="inlineStr">
        <is>
          <t>Conflict</t>
        </is>
      </c>
      <c r="I20" s="34" t="inlineStr">
        <is>
          <t>Nehru Government / Sarkar Committee</t>
        </is>
      </c>
      <c r="J20" s="32" t="inlineStr">
        <is>
          <t>Pólya</t>
        </is>
      </c>
      <c r="K20" s="35" t="n">
        <v>6.5</v>
      </c>
      <c r="L20" s="35" t="n">
        <v>7</v>
      </c>
      <c r="M20" s="36">
        <f>K20*L20</f>
        <v/>
      </c>
      <c r="N20" s="35" t="n">
        <v>4</v>
      </c>
      <c r="O20" s="35" t="n">
        <v>3.5</v>
      </c>
      <c r="P20" s="36">
        <f>N20+O20</f>
        <v/>
      </c>
      <c r="Q20" s="36">
        <f>N20*O20</f>
        <v/>
      </c>
      <c r="R20" s="36">
        <f>M20/P20</f>
        <v/>
      </c>
      <c r="S20" s="36">
        <f>M20/Q20</f>
        <v/>
      </c>
      <c r="T20" s="36">
        <f>R20/S20</f>
        <v/>
      </c>
      <c r="U20" s="33">
        <f>IF(T20&lt;2,"GREEN",IF(T20&lt;5,"AMBER","RED"))</f>
        <v/>
      </c>
      <c r="V20" s="32" t="inlineStr">
        <is>
          <t>Med-High</t>
        </is>
      </c>
      <c r="W20" s="32" t="inlineStr">
        <is>
          <t>Med</t>
        </is>
      </c>
      <c r="X20" s="32" t="inlineStr">
        <is>
          <t>High</t>
        </is>
      </c>
      <c r="Y20" s="34" t="inlineStr">
        <is>
          <t>HICE factory — CQ production at civilisational scale. Scholar 8 incubator.</t>
        </is>
      </c>
    </row>
    <row r="21" ht="23.25" customHeight="1">
      <c r="A21" s="32" t="n">
        <v>20</v>
      </c>
      <c r="B21" s="32" t="inlineStr">
        <is>
          <t>1956</t>
        </is>
      </c>
      <c r="C21" s="33" t="inlineStr">
        <is>
          <t>US Interstate Highway System</t>
        </is>
      </c>
      <c r="D21" s="32" t="inlineStr">
        <is>
          <t>West</t>
        </is>
      </c>
      <c r="E21" s="32" t="inlineStr">
        <is>
          <t>Build-Destroy-Rebuild</t>
        </is>
      </c>
      <c r="F21" s="32" t="inlineStr">
        <is>
          <t>R05 Roads, R09 Engine</t>
        </is>
      </c>
      <c r="G21" s="32" t="inlineStr">
        <is>
          <t>Trade</t>
        </is>
      </c>
      <c r="H21" s="32" t="inlineStr">
        <is>
          <t>Conflict</t>
        </is>
      </c>
      <c r="I21" s="34" t="inlineStr">
        <is>
          <t>Eisenhower Administration (Federal-Aid Highway Act)</t>
        </is>
      </c>
      <c r="J21" s="32" t="inlineStr">
        <is>
          <t>Aristotle</t>
        </is>
      </c>
      <c r="K21" s="35" t="n">
        <v>8</v>
      </c>
      <c r="L21" s="35" t="n">
        <v>7</v>
      </c>
      <c r="M21" s="36">
        <f>K21*L21</f>
        <v/>
      </c>
      <c r="N21" s="35" t="n">
        <v>4.5</v>
      </c>
      <c r="O21" s="35" t="n">
        <v>3.5</v>
      </c>
      <c r="P21" s="36">
        <f>N21+O21</f>
        <v/>
      </c>
      <c r="Q21" s="36">
        <f>N21*O21</f>
        <v/>
      </c>
      <c r="R21" s="36">
        <f>M21/P21</f>
        <v/>
      </c>
      <c r="S21" s="36">
        <f>M21/Q21</f>
        <v/>
      </c>
      <c r="T21" s="36">
        <f>R21/S21</f>
        <v/>
      </c>
      <c r="U21" s="33">
        <f>IF(T21&lt;2,"GREEN",IF(T21&lt;5,"AMBER","RED"))</f>
        <v/>
      </c>
      <c r="V21" s="32" t="inlineStr">
        <is>
          <t>Med</t>
        </is>
      </c>
      <c r="W21" s="32" t="inlineStr">
        <is>
          <t>High</t>
        </is>
      </c>
      <c r="X21" s="32" t="inlineStr">
        <is>
          <t>High</t>
        </is>
      </c>
      <c r="Y21" s="34" t="inlineStr">
        <is>
          <t>Network coherence — reshaped US economy. Strong credit with hidden ISI₁ costs (sprawl, emissions).</t>
        </is>
      </c>
    </row>
    <row r="22" ht="23.25" customHeight="1">
      <c r="A22" s="32" t="n">
        <v>21</v>
      </c>
      <c r="B22" s="32" t="inlineStr">
        <is>
          <t>1957</t>
        </is>
      </c>
      <c r="C22" s="33" t="inlineStr">
        <is>
          <t>Sputnik / Space Race</t>
        </is>
      </c>
      <c r="D22" s="32" t="inlineStr">
        <is>
          <t>Unified</t>
        </is>
      </c>
      <c r="E22" s="32" t="inlineStr">
        <is>
          <t>Convergence</t>
        </is>
      </c>
      <c r="F22" s="32" t="inlineStr">
        <is>
          <t>R11 Orbit</t>
        </is>
      </c>
      <c r="G22" s="32" t="inlineStr">
        <is>
          <t>Data</t>
        </is>
      </c>
      <c r="H22" s="32" t="inlineStr">
        <is>
          <t>Conflagration</t>
        </is>
      </c>
      <c r="I22" s="34" t="inlineStr">
        <is>
          <t>Soviet Union (Korolev / Khrushchev)</t>
        </is>
      </c>
      <c r="J22" s="32" t="inlineStr">
        <is>
          <t>Hawking</t>
        </is>
      </c>
      <c r="K22" s="35" t="n">
        <v>9</v>
      </c>
      <c r="L22" s="35" t="n">
        <v>3.5</v>
      </c>
      <c r="M22" s="36">
        <f>K22*L22</f>
        <v/>
      </c>
      <c r="N22" s="35" t="n">
        <v>5.5</v>
      </c>
      <c r="O22" s="35" t="n">
        <v>4</v>
      </c>
      <c r="P22" s="36">
        <f>N22+O22</f>
        <v/>
      </c>
      <c r="Q22" s="36">
        <f>N22*O22</f>
        <v/>
      </c>
      <c r="R22" s="36">
        <f>M22/P22</f>
        <v/>
      </c>
      <c r="S22" s="36">
        <f>M22/Q22</f>
        <v/>
      </c>
      <c r="T22" s="36">
        <f>R22/S22</f>
        <v/>
      </c>
      <c r="U22" s="33">
        <f>IF(T22&lt;2,"GREEN",IF(T22&lt;5,"AMBER","RED"))</f>
        <v/>
      </c>
      <c r="V22" s="32" t="inlineStr">
        <is>
          <t>Low</t>
        </is>
      </c>
      <c r="W22" s="32" t="inlineStr">
        <is>
          <t>Med</t>
        </is>
      </c>
      <c r="X22" s="32" t="inlineStr">
        <is>
          <t>Very High</t>
        </is>
      </c>
      <c r="Y22" s="34" t="inlineStr">
        <is>
          <t>Opened the orbital relay. Competition mode → convergence mode (eventually ISS). ISI₃ immense.</t>
        </is>
      </c>
    </row>
    <row r="23">
      <c r="A23" s="32" t="n">
        <v>22</v>
      </c>
      <c r="B23" s="32" t="inlineStr">
        <is>
          <t>1959</t>
        </is>
      </c>
      <c r="C23" s="33" t="inlineStr">
        <is>
          <t>Antarctic Treaty System</t>
        </is>
      </c>
      <c r="D23" s="32" t="inlineStr">
        <is>
          <t>Unified</t>
        </is>
      </c>
      <c r="E23" s="32" t="inlineStr">
        <is>
          <t>Convergence</t>
        </is>
      </c>
      <c r="F23" s="32" t="inlineStr">
        <is>
          <t>R11 Orbit</t>
        </is>
      </c>
      <c r="G23" s="32" t="inlineStr">
        <is>
          <t>Data</t>
        </is>
      </c>
      <c r="H23" s="32" t="inlineStr">
        <is>
          <t>Climate</t>
        </is>
      </c>
      <c r="I23" s="34" t="inlineStr">
        <is>
          <t>12 signatory nations (US, USSR, UK, France, etc.)</t>
        </is>
      </c>
      <c r="J23" s="32" t="inlineStr">
        <is>
          <t>Confucius</t>
        </is>
      </c>
      <c r="K23" s="35" t="n">
        <v>5</v>
      </c>
      <c r="L23" s="35" t="n">
        <v>6.5</v>
      </c>
      <c r="M23" s="36">
        <f>K23*L23</f>
        <v/>
      </c>
      <c r="N23" s="35" t="n">
        <v>3</v>
      </c>
      <c r="O23" s="35" t="n">
        <v>2.5</v>
      </c>
      <c r="P23" s="36">
        <f>N23+O23</f>
        <v/>
      </c>
      <c r="Q23" s="36">
        <f>N23*O23</f>
        <v/>
      </c>
      <c r="R23" s="36">
        <f>M23/P23</f>
        <v/>
      </c>
      <c r="S23" s="36">
        <f>M23/Q23</f>
        <v/>
      </c>
      <c r="T23" s="36">
        <f>R23/S23</f>
        <v/>
      </c>
      <c r="U23" s="33">
        <f>IF(T23&lt;2,"GREEN",IF(T23&lt;5,"AMBER","RED"))</f>
        <v/>
      </c>
      <c r="V23" s="32" t="inlineStr">
        <is>
          <t>High</t>
        </is>
      </c>
      <c r="W23" s="32" t="inlineStr">
        <is>
          <t>Med</t>
        </is>
      </c>
      <c r="X23" s="32" t="inlineStr">
        <is>
          <t>High</t>
        </is>
      </c>
      <c r="Y23" s="34" t="inlineStr">
        <is>
          <t>Unified governance of a continent — proof that cooperation mode works.</t>
        </is>
      </c>
    </row>
    <row r="24">
      <c r="A24" s="32" t="n">
        <v>23</v>
      </c>
      <c r="B24" s="32" t="inlineStr">
        <is>
          <t>1965</t>
        </is>
      </c>
      <c r="C24" s="33" t="inlineStr">
        <is>
          <t>Singapore Urban Model</t>
        </is>
      </c>
      <c r="D24" s="32" t="inlineStr">
        <is>
          <t>APAC</t>
        </is>
      </c>
      <c r="E24" s="32" t="inlineStr">
        <is>
          <t>Adaptive Network</t>
        </is>
      </c>
      <c r="F24" s="32" t="inlineStr">
        <is>
          <t>R10 AAA, R12 Human Nodes</t>
        </is>
      </c>
      <c r="G24" s="32" t="inlineStr">
        <is>
          <t>Urban</t>
        </is>
      </c>
      <c r="H24" s="32" t="inlineStr">
        <is>
          <t>Consumption</t>
        </is>
      </c>
      <c r="I24" s="34" t="inlineStr">
        <is>
          <t>Lee Kuan Yew / Singapore Government (HDB, EDB, URA)</t>
        </is>
      </c>
      <c r="J24" s="32" t="inlineStr">
        <is>
          <t>Pólya</t>
        </is>
      </c>
      <c r="K24" s="35" t="n">
        <v>7.5</v>
      </c>
      <c r="L24" s="35" t="n">
        <v>6</v>
      </c>
      <c r="M24" s="36">
        <f>K24*L24</f>
        <v/>
      </c>
      <c r="N24" s="35" t="n">
        <v>3</v>
      </c>
      <c r="O24" s="35" t="n">
        <v>2.5</v>
      </c>
      <c r="P24" s="36">
        <f>N24+O24</f>
        <v/>
      </c>
      <c r="Q24" s="36">
        <f>N24*O24</f>
        <v/>
      </c>
      <c r="R24" s="36">
        <f>M24/P24</f>
        <v/>
      </c>
      <c r="S24" s="36">
        <f>M24/Q24</f>
        <v/>
      </c>
      <c r="T24" s="36">
        <f>R24/S24</f>
        <v/>
      </c>
      <c r="U24" s="33">
        <f>IF(T24&lt;2,"GREEN",IF(T24&lt;5,"AMBER","RED"))</f>
        <v/>
      </c>
      <c r="V24" s="32" t="inlineStr">
        <is>
          <t>High</t>
        </is>
      </c>
      <c r="W24" s="32" t="inlineStr">
        <is>
          <t>High</t>
        </is>
      </c>
      <c r="X24" s="32" t="inlineStr">
        <is>
          <t>High</t>
        </is>
      </c>
      <c r="Y24" s="34" t="inlineStr">
        <is>
          <t>Governed superlinear growth — β≈1.15 with deliberate ISI₁+₂+₃ optimisation.</t>
        </is>
      </c>
    </row>
    <row r="25" ht="23.25" customHeight="1">
      <c r="A25" s="32" t="n">
        <v>24</v>
      </c>
      <c r="B25" s="32" t="inlineStr">
        <is>
          <t>1965</t>
        </is>
      </c>
      <c r="C25" s="33" t="inlineStr">
        <is>
          <t>Green Revolution (India)</t>
        </is>
      </c>
      <c r="D25" s="32" t="inlineStr">
        <is>
          <t>India</t>
        </is>
      </c>
      <c r="E25" s="32" t="inlineStr">
        <is>
          <t>Analytical Integration</t>
        </is>
      </c>
      <c r="F25" s="32" t="inlineStr">
        <is>
          <t>R09 Engine, R03 River</t>
        </is>
      </c>
      <c r="G25" s="32" t="inlineStr">
        <is>
          <t>Power</t>
        </is>
      </c>
      <c r="H25" s="32" t="inlineStr">
        <is>
          <t>Climate</t>
        </is>
      </c>
      <c r="I25" s="34" t="inlineStr">
        <is>
          <t>Norman Borlaug / Indian Government (Shastri, Subramaniam)</t>
        </is>
      </c>
      <c r="J25" s="32" t="inlineStr">
        <is>
          <t>Maslow</t>
        </is>
      </c>
      <c r="K25" s="35" t="n">
        <v>8</v>
      </c>
      <c r="L25" s="35" t="n">
        <v>5.5</v>
      </c>
      <c r="M25" s="36">
        <f>K25*L25</f>
        <v/>
      </c>
      <c r="N25" s="35" t="n">
        <v>4.5</v>
      </c>
      <c r="O25" s="35" t="n">
        <v>3.5</v>
      </c>
      <c r="P25" s="36">
        <f>N25+O25</f>
        <v/>
      </c>
      <c r="Q25" s="36">
        <f>N25*O25</f>
        <v/>
      </c>
      <c r="R25" s="36">
        <f>M25/P25</f>
        <v/>
      </c>
      <c r="S25" s="36">
        <f>M25/Q25</f>
        <v/>
      </c>
      <c r="T25" s="36">
        <f>R25/S25</f>
        <v/>
      </c>
      <c r="U25" s="33">
        <f>IF(T25&lt;2,"GREEN",IF(T25&lt;5,"AMBER","RED"))</f>
        <v/>
      </c>
      <c r="V25" s="32" t="inlineStr">
        <is>
          <t>Low-Med</t>
        </is>
      </c>
      <c r="W25" s="32" t="inlineStr">
        <is>
          <t>High</t>
        </is>
      </c>
      <c r="X25" s="32" t="inlineStr">
        <is>
          <t>Med-High</t>
        </is>
      </c>
      <c r="Y25" s="34" t="inlineStr">
        <is>
          <t>R3+R9 amplification — massive ISI₂ gain but ISI₁ trade-off (soil/water depletion).</t>
        </is>
      </c>
    </row>
    <row r="26" ht="23.25" customHeight="1">
      <c r="A26" s="32" t="n">
        <v>25</v>
      </c>
      <c r="B26" s="32" t="inlineStr">
        <is>
          <t>1978</t>
        </is>
      </c>
      <c r="C26" s="33" t="inlineStr">
        <is>
          <t>Deng Xiaoping Economic Pivot</t>
        </is>
      </c>
      <c r="D26" s="32" t="inlineStr">
        <is>
          <t>East</t>
        </is>
      </c>
      <c r="E26" s="32" t="inlineStr">
        <is>
          <t>Build-Refine-Persist</t>
        </is>
      </c>
      <c r="F26" s="32" t="inlineStr">
        <is>
          <t>R09 Engine, R10 AAA</t>
        </is>
      </c>
      <c r="G26" s="32" t="inlineStr">
        <is>
          <t>Power</t>
        </is>
      </c>
      <c r="H26" s="32" t="inlineStr">
        <is>
          <t>Conflict</t>
        </is>
      </c>
      <c r="I26" s="34" t="inlineStr">
        <is>
          <t>Deng Xiaoping / CPC (Reform and Opening Up)</t>
        </is>
      </c>
      <c r="J26" s="32" t="inlineStr">
        <is>
          <t>Sun Tzu</t>
        </is>
      </c>
      <c r="K26" s="35" t="n">
        <v>9</v>
      </c>
      <c r="L26" s="35" t="n">
        <v>5</v>
      </c>
      <c r="M26" s="36">
        <f>K26*L26</f>
        <v/>
      </c>
      <c r="N26" s="35" t="n">
        <v>4</v>
      </c>
      <c r="O26" s="35" t="n">
        <v>3.5</v>
      </c>
      <c r="P26" s="36">
        <f>N26+O26</f>
        <v/>
      </c>
      <c r="Q26" s="36">
        <f>N26*O26</f>
        <v/>
      </c>
      <c r="R26" s="36">
        <f>M26/P26</f>
        <v/>
      </c>
      <c r="S26" s="36">
        <f>M26/Q26</f>
        <v/>
      </c>
      <c r="T26" s="36">
        <f>R26/S26</f>
        <v/>
      </c>
      <c r="U26" s="33">
        <f>IF(T26&lt;2,"GREEN",IF(T26&lt;5,"AMBER","RED"))</f>
        <v/>
      </c>
      <c r="V26" s="32" t="inlineStr">
        <is>
          <t>Med</t>
        </is>
      </c>
      <c r="W26" s="32" t="inlineStr">
        <is>
          <t>High</t>
        </is>
      </c>
      <c r="X26" s="32" t="inlineStr">
        <is>
          <t>Very High</t>
        </is>
      </c>
      <c r="Y26" s="34" t="inlineStr">
        <is>
          <t>Relay reactivation — stored potential released. AD²≤16 restored after 1840 collapse.</t>
        </is>
      </c>
    </row>
    <row r="27">
      <c r="A27" s="32" t="n">
        <v>26</v>
      </c>
      <c r="B27" s="32" t="inlineStr">
        <is>
          <t>1980s</t>
        </is>
      </c>
      <c r="C27" s="33" t="inlineStr">
        <is>
          <t>Gulf Desalination Grids</t>
        </is>
      </c>
      <c r="D27" s="32" t="inlineStr">
        <is>
          <t>Bridge</t>
        </is>
      </c>
      <c r="E27" s="32" t="inlineStr">
        <is>
          <t>Mobile-Bridge-Extraction</t>
        </is>
      </c>
      <c r="F27" s="32" t="inlineStr">
        <is>
          <t>R03 River, R09 Engine</t>
        </is>
      </c>
      <c r="G27" s="32" t="inlineStr">
        <is>
          <t>Energy</t>
        </is>
      </c>
      <c r="H27" s="32" t="inlineStr">
        <is>
          <t>Climate</t>
        </is>
      </c>
      <c r="I27" s="34" t="inlineStr">
        <is>
          <t>Gulf States (Saudi SWCC, UAE DEWA)</t>
        </is>
      </c>
      <c r="J27" s="32" t="inlineStr">
        <is>
          <t>Maslow</t>
        </is>
      </c>
      <c r="K27" s="35" t="n">
        <v>5.5</v>
      </c>
      <c r="L27" s="35" t="n">
        <v>4</v>
      </c>
      <c r="M27" s="36">
        <f>K27*L27</f>
        <v/>
      </c>
      <c r="N27" s="35" t="n">
        <v>6</v>
      </c>
      <c r="O27" s="35" t="n">
        <v>4.5</v>
      </c>
      <c r="P27" s="36">
        <f>N27+O27</f>
        <v/>
      </c>
      <c r="Q27" s="36">
        <f>N27*O27</f>
        <v/>
      </c>
      <c r="R27" s="36">
        <f>M27/P27</f>
        <v/>
      </c>
      <c r="S27" s="36">
        <f>M27/Q27</f>
        <v/>
      </c>
      <c r="T27" s="36">
        <f>R27/S27</f>
        <v/>
      </c>
      <c r="U27" s="33">
        <f>IF(T27&lt;2,"GREEN",IF(T27&lt;5,"AMBER","RED"))</f>
        <v/>
      </c>
      <c r="V27" s="32" t="inlineStr">
        <is>
          <t>Low-Med</t>
        </is>
      </c>
      <c r="W27" s="32" t="inlineStr">
        <is>
          <t>Med</t>
        </is>
      </c>
      <c r="X27" s="32" t="inlineStr">
        <is>
          <t>High</t>
        </is>
      </c>
      <c r="Y27" s="34" t="inlineStr">
        <is>
          <t>Fragile credit — buys time but highly exposed to energy and climate shocks.</t>
        </is>
      </c>
    </row>
    <row r="28">
      <c r="A28" s="32" t="n">
        <v>27</v>
      </c>
      <c r="B28" s="32" t="inlineStr">
        <is>
          <t>1987</t>
        </is>
      </c>
      <c r="C28" s="33" t="inlineStr">
        <is>
          <t>TSMC (Taiwan)</t>
        </is>
      </c>
      <c r="D28" s="32" t="inlineStr">
        <is>
          <t>APAC</t>
        </is>
      </c>
      <c r="E28" s="32" t="inlineStr">
        <is>
          <t>Adaptive Network</t>
        </is>
      </c>
      <c r="F28" s="32" t="inlineStr">
        <is>
          <t>R10 AAA, R11 Orbit</t>
        </is>
      </c>
      <c r="G28" s="32" t="inlineStr">
        <is>
          <t>Urban</t>
        </is>
      </c>
      <c r="H28" s="32" t="inlineStr">
        <is>
          <t>Consumption</t>
        </is>
      </c>
      <c r="I28" s="34" t="inlineStr">
        <is>
          <t>Morris Chang / Taiwan Government (ITRI incubation)</t>
        </is>
      </c>
      <c r="J28" s="32" t="inlineStr">
        <is>
          <t>Turing</t>
        </is>
      </c>
      <c r="K28" s="35" t="n">
        <v>8</v>
      </c>
      <c r="L28" s="35" t="n">
        <v>4</v>
      </c>
      <c r="M28" s="36">
        <f>K28*L28</f>
        <v/>
      </c>
      <c r="N28" s="35" t="n">
        <v>4</v>
      </c>
      <c r="O28" s="35" t="n">
        <v>3</v>
      </c>
      <c r="P28" s="36">
        <f>N28+O28</f>
        <v/>
      </c>
      <c r="Q28" s="36">
        <f>N28*O28</f>
        <v/>
      </c>
      <c r="R28" s="36">
        <f>M28/P28</f>
        <v/>
      </c>
      <c r="S28" s="36">
        <f>M28/Q28</f>
        <v/>
      </c>
      <c r="T28" s="36">
        <f>R28/S28</f>
        <v/>
      </c>
      <c r="U28" s="33">
        <f>IF(T28&lt;2,"GREEN",IF(T28&lt;5,"AMBER","RED"))</f>
        <v/>
      </c>
      <c r="V28" s="32" t="inlineStr">
        <is>
          <t>Med</t>
        </is>
      </c>
      <c r="W28" s="32" t="inlineStr">
        <is>
          <t>High</t>
        </is>
      </c>
      <c r="X28" s="32" t="inlineStr">
        <is>
          <t>Very High</t>
        </is>
      </c>
      <c r="Y28" s="34" t="inlineStr">
        <is>
          <t>R10 relay concentration — single node controlling global semiconductor supply.</t>
        </is>
      </c>
    </row>
    <row r="29" ht="23.25" customHeight="1">
      <c r="A29" s="32" t="n">
        <v>28</v>
      </c>
      <c r="B29" s="32" t="inlineStr">
        <is>
          <t>1988</t>
        </is>
      </c>
      <c r="C29" s="33" t="inlineStr">
        <is>
          <t>Seoul Smart City Transformation</t>
        </is>
      </c>
      <c r="D29" s="32" t="inlineStr">
        <is>
          <t>APAC</t>
        </is>
      </c>
      <c r="E29" s="32" t="inlineStr">
        <is>
          <t>Adaptive Network</t>
        </is>
      </c>
      <c r="F29" s="32" t="inlineStr">
        <is>
          <t>R10 AAA, R12 Human Nodes</t>
        </is>
      </c>
      <c r="G29" s="32" t="inlineStr">
        <is>
          <t>Urban</t>
        </is>
      </c>
      <c r="H29" s="32" t="inlineStr">
        <is>
          <t>Consumption</t>
        </is>
      </c>
      <c r="I29" s="34" t="inlineStr">
        <is>
          <t>South Korean Government (post-Olympics modernisation)</t>
        </is>
      </c>
      <c r="J29" s="32" t="inlineStr">
        <is>
          <t>De Bono</t>
        </is>
      </c>
      <c r="K29" s="35" t="n">
        <v>7</v>
      </c>
      <c r="L29" s="35" t="n">
        <v>3.8</v>
      </c>
      <c r="M29" s="36">
        <f>K29*L29</f>
        <v/>
      </c>
      <c r="N29" s="35" t="n">
        <v>3.5</v>
      </c>
      <c r="O29" s="35" t="n">
        <v>3</v>
      </c>
      <c r="P29" s="36">
        <f>N29+O29</f>
        <v/>
      </c>
      <c r="Q29" s="36">
        <f>N29*O29</f>
        <v/>
      </c>
      <c r="R29" s="36">
        <f>M29/P29</f>
        <v/>
      </c>
      <c r="S29" s="36">
        <f>M29/Q29</f>
        <v/>
      </c>
      <c r="T29" s="36">
        <f>R29/S29</f>
        <v/>
      </c>
      <c r="U29" s="33">
        <f>IF(T29&lt;2,"GREEN",IF(T29&lt;5,"AMBER","RED"))</f>
        <v/>
      </c>
      <c r="V29" s="32" t="inlineStr">
        <is>
          <t>Med-High</t>
        </is>
      </c>
      <c r="W29" s="32" t="inlineStr">
        <is>
          <t>High</t>
        </is>
      </c>
      <c r="X29" s="32" t="inlineStr">
        <is>
          <t>High</t>
        </is>
      </c>
      <c r="Y29" s="34" t="inlineStr">
        <is>
          <t>Cognitive domestication R10-R12 — war rubble to smart city in 70 years.</t>
        </is>
      </c>
    </row>
    <row r="30" ht="23.25" customHeight="1">
      <c r="A30" s="32" t="n">
        <v>29</v>
      </c>
      <c r="B30" s="32" t="inlineStr">
        <is>
          <t>1989</t>
        </is>
      </c>
      <c r="C30" s="33" t="inlineStr">
        <is>
          <t>CERN / World Wide Web</t>
        </is>
      </c>
      <c r="D30" s="32" t="inlineStr">
        <is>
          <t>Unified</t>
        </is>
      </c>
      <c r="E30" s="32" t="inlineStr">
        <is>
          <t>Convergence</t>
        </is>
      </c>
      <c r="F30" s="32" t="inlineStr">
        <is>
          <t>R11 Orbit, R12 Human Nodes</t>
        </is>
      </c>
      <c r="G30" s="32" t="inlineStr">
        <is>
          <t>Data</t>
        </is>
      </c>
      <c r="H30" s="32" t="inlineStr">
        <is>
          <t>Conflagration</t>
        </is>
      </c>
      <c r="I30" s="34" t="inlineStr">
        <is>
          <t>Tim Berners-Lee / CERN (European collaboration)</t>
        </is>
      </c>
      <c r="J30" s="32" t="inlineStr">
        <is>
          <t>Berners-Lee</t>
        </is>
      </c>
      <c r="K30" s="35" t="n">
        <v>9.5</v>
      </c>
      <c r="L30" s="35" t="n">
        <v>8.5</v>
      </c>
      <c r="M30" s="36">
        <f>K30*L30</f>
        <v/>
      </c>
      <c r="N30" s="35" t="n">
        <v>4.5</v>
      </c>
      <c r="O30" s="35" t="n">
        <v>3.5</v>
      </c>
      <c r="P30" s="36">
        <f>N30+O30</f>
        <v/>
      </c>
      <c r="Q30" s="36">
        <f>N30*O30</f>
        <v/>
      </c>
      <c r="R30" s="36">
        <f>M30/P30</f>
        <v/>
      </c>
      <c r="S30" s="36">
        <f>M30/Q30</f>
        <v/>
      </c>
      <c r="T30" s="36">
        <f>R30/S30</f>
        <v/>
      </c>
      <c r="U30" s="33">
        <f>IF(T30&lt;2,"GREEN",IF(T30&lt;5,"AMBER","RED"))</f>
        <v/>
      </c>
      <c r="V30" s="32" t="inlineStr">
        <is>
          <t>High</t>
        </is>
      </c>
      <c r="W30" s="32" t="inlineStr">
        <is>
          <t>High</t>
        </is>
      </c>
      <c r="X30" s="32" t="inlineStr">
        <is>
          <t>Very High</t>
        </is>
      </c>
      <c r="Y30" s="34" t="inlineStr">
        <is>
          <t>Scientific cooperation → civilisational relay. R12 born from Unified mode. Infinite ISI₃.</t>
        </is>
      </c>
    </row>
    <row r="31">
      <c r="A31" s="32" t="n">
        <v>30</v>
      </c>
      <c r="B31" s="32" t="inlineStr">
        <is>
          <t>1993</t>
        </is>
      </c>
      <c r="C31" s="33" t="inlineStr">
        <is>
          <t>UK Rail Privatisation</t>
        </is>
      </c>
      <c r="D31" s="32" t="inlineStr">
        <is>
          <t>West</t>
        </is>
      </c>
      <c r="E31" s="32" t="inlineStr">
        <is>
          <t>Build-Destroy-Rebuild</t>
        </is>
      </c>
      <c r="F31" s="32" t="inlineStr">
        <is>
          <t>R08 Rail</t>
        </is>
      </c>
      <c r="G31" s="32" t="inlineStr">
        <is>
          <t>Acceleration</t>
        </is>
      </c>
      <c r="H31" s="32" t="inlineStr">
        <is>
          <t>Conflagration</t>
        </is>
      </c>
      <c r="I31" s="34" t="inlineStr">
        <is>
          <t>UK Government (Major administration / ideology)</t>
        </is>
      </c>
      <c r="J31" s="32" t="inlineStr">
        <is>
          <t>Hawking</t>
        </is>
      </c>
      <c r="K31" s="35" t="n">
        <v>4</v>
      </c>
      <c r="L31" s="35" t="n">
        <v>3.3</v>
      </c>
      <c r="M31" s="36">
        <f>K31*L31</f>
        <v/>
      </c>
      <c r="N31" s="35" t="n">
        <v>6.5</v>
      </c>
      <c r="O31" s="35" t="n">
        <v>6</v>
      </c>
      <c r="P31" s="36">
        <f>N31+O31</f>
        <v/>
      </c>
      <c r="Q31" s="36">
        <f>N31*O31</f>
        <v/>
      </c>
      <c r="R31" s="36">
        <f>M31/P31</f>
        <v/>
      </c>
      <c r="S31" s="36">
        <f>M31/Q31</f>
        <v/>
      </c>
      <c r="T31" s="36">
        <f>R31/S31</f>
        <v/>
      </c>
      <c r="U31" s="33">
        <f>IF(T31&lt;2,"GREEN",IF(T31&lt;5,"AMBER","RED"))</f>
        <v/>
      </c>
      <c r="V31" s="32" t="inlineStr">
        <is>
          <t>Low</t>
        </is>
      </c>
      <c r="W31" s="32" t="inlineStr">
        <is>
          <t>Low</t>
        </is>
      </c>
      <c r="X31" s="32" t="inlineStr">
        <is>
          <t>Negative</t>
        </is>
      </c>
      <c r="Y31" s="34" t="inlineStr">
        <is>
          <t>Deliberate infrastructure debt — ideology over function. ISI₃ &lt; 1.0. Anti-credit.</t>
        </is>
      </c>
    </row>
    <row r="32" ht="23.25" customHeight="1">
      <c r="A32" s="32" t="n">
        <v>31</v>
      </c>
      <c r="B32" s="32" t="inlineStr">
        <is>
          <t>1995</t>
        </is>
      </c>
      <c r="C32" s="33" t="inlineStr">
        <is>
          <t>Tokyo Resilience (post-Kobe Earthquake)</t>
        </is>
      </c>
      <c r="D32" s="32" t="inlineStr">
        <is>
          <t>APAC</t>
        </is>
      </c>
      <c r="E32" s="32" t="inlineStr">
        <is>
          <t>Adaptive Network</t>
        </is>
      </c>
      <c r="F32" s="32" t="inlineStr">
        <is>
          <t>R05 Roads, R09 Engine, R12 Human Nodes</t>
        </is>
      </c>
      <c r="G32" s="32" t="inlineStr">
        <is>
          <t>Cognition</t>
        </is>
      </c>
      <c r="H32" s="32" t="inlineStr">
        <is>
          <t>Conflict</t>
        </is>
      </c>
      <c r="I32" s="34" t="inlineStr">
        <is>
          <t>Japanese Government / Tokyo Metropolitan Government</t>
        </is>
      </c>
      <c r="J32" s="32" t="inlineStr">
        <is>
          <t>Pólya</t>
        </is>
      </c>
      <c r="K32" s="35" t="n">
        <v>7</v>
      </c>
      <c r="L32" s="35" t="n">
        <v>3.1</v>
      </c>
      <c r="M32" s="36">
        <f>K32*L32</f>
        <v/>
      </c>
      <c r="N32" s="35" t="n">
        <v>5</v>
      </c>
      <c r="O32" s="35" t="n">
        <v>3</v>
      </c>
      <c r="P32" s="36">
        <f>N32+O32</f>
        <v/>
      </c>
      <c r="Q32" s="36">
        <f>N32*O32</f>
        <v/>
      </c>
      <c r="R32" s="36">
        <f>M32/P32</f>
        <v/>
      </c>
      <c r="S32" s="36">
        <f>M32/Q32</f>
        <v/>
      </c>
      <c r="T32" s="36">
        <f>R32/S32</f>
        <v/>
      </c>
      <c r="U32" s="33">
        <f>IF(T32&lt;2,"GREEN",IF(T32&lt;5,"AMBER","RED"))</f>
        <v/>
      </c>
      <c r="V32" s="32" t="inlineStr">
        <is>
          <t>Med-High</t>
        </is>
      </c>
      <c r="W32" s="32" t="inlineStr">
        <is>
          <t>Very High</t>
        </is>
      </c>
      <c r="X32" s="32" t="inlineStr">
        <is>
          <t>High</t>
        </is>
      </c>
      <c r="Y32" s="34" t="inlineStr">
        <is>
          <t>β₂ (Climate) management through engineering — earthquake-proof as governance.</t>
        </is>
      </c>
    </row>
    <row r="33">
      <c r="A33" s="32" t="n">
        <v>32</v>
      </c>
      <c r="B33" s="32" t="inlineStr">
        <is>
          <t>1998</t>
        </is>
      </c>
      <c r="C33" s="33" t="inlineStr">
        <is>
          <t>International Space Station</t>
        </is>
      </c>
      <c r="D33" s="32" t="inlineStr">
        <is>
          <t>Unified</t>
        </is>
      </c>
      <c r="E33" s="32" t="inlineStr">
        <is>
          <t>Convergence</t>
        </is>
      </c>
      <c r="F33" s="32" t="inlineStr">
        <is>
          <t>R11 Orbit</t>
        </is>
      </c>
      <c r="G33" s="32" t="inlineStr">
        <is>
          <t>Data</t>
        </is>
      </c>
      <c r="H33" s="32" t="inlineStr">
        <is>
          <t>Conflagration</t>
        </is>
      </c>
      <c r="I33" s="34" t="inlineStr">
        <is>
          <t>15 nations (NASA, Roscosmos, ESA, JAXA, CSA)</t>
        </is>
      </c>
      <c r="J33" s="32" t="inlineStr">
        <is>
          <t>Hawking</t>
        </is>
      </c>
      <c r="K33" s="35" t="n">
        <v>6</v>
      </c>
      <c r="L33" s="35" t="n">
        <v>2.8</v>
      </c>
      <c r="M33" s="36">
        <f>K33*L33</f>
        <v/>
      </c>
      <c r="N33" s="35" t="n">
        <v>5.5</v>
      </c>
      <c r="O33" s="35" t="n">
        <v>3.5</v>
      </c>
      <c r="P33" s="36">
        <f>N33+O33</f>
        <v/>
      </c>
      <c r="Q33" s="36">
        <f>N33*O33</f>
        <v/>
      </c>
      <c r="R33" s="36">
        <f>M33/P33</f>
        <v/>
      </c>
      <c r="S33" s="36">
        <f>M33/Q33</f>
        <v/>
      </c>
      <c r="T33" s="36">
        <f>R33/S33</f>
        <v/>
      </c>
      <c r="U33" s="33">
        <f>IF(T33&lt;2,"GREEN",IF(T33&lt;5,"AMBER","RED"))</f>
        <v/>
      </c>
      <c r="V33" s="32" t="inlineStr">
        <is>
          <t>Low</t>
        </is>
      </c>
      <c r="W33" s="32" t="inlineStr">
        <is>
          <t>Med</t>
        </is>
      </c>
      <c r="X33" s="32" t="inlineStr">
        <is>
          <t>Very High</t>
        </is>
      </c>
      <c r="Y33" s="34" t="inlineStr">
        <is>
          <t>15 nations, $150B, 25 years. Proof that Unified mode works but is expensive.</t>
        </is>
      </c>
    </row>
    <row r="34" ht="23.25" customHeight="1">
      <c r="A34" s="32" t="n">
        <v>33</v>
      </c>
      <c r="B34" s="32" t="inlineStr">
        <is>
          <t>2000s</t>
        </is>
      </c>
      <c r="C34" s="33" t="inlineStr">
        <is>
          <t>Dubai Aviation Hub</t>
        </is>
      </c>
      <c r="D34" s="32" t="inlineStr">
        <is>
          <t>Bridge</t>
        </is>
      </c>
      <c r="E34" s="32" t="inlineStr">
        <is>
          <t>Mobile-Bridge-Extraction</t>
        </is>
      </c>
      <c r="F34" s="32" t="inlineStr">
        <is>
          <t>R06 Ships, R10 AAA, R11 Orbit</t>
        </is>
      </c>
      <c r="G34" s="32" t="inlineStr">
        <is>
          <t>Trade</t>
        </is>
      </c>
      <c r="H34" s="32" t="inlineStr">
        <is>
          <t>Consumption</t>
        </is>
      </c>
      <c r="I34" s="34" t="inlineStr">
        <is>
          <t>Dubai Government (Sheikh Mohammed / Emirates Group)</t>
        </is>
      </c>
      <c r="J34" s="32" t="inlineStr">
        <is>
          <t>Marco Polo</t>
        </is>
      </c>
      <c r="K34" s="35" t="n">
        <v>7.5</v>
      </c>
      <c r="L34" s="35" t="n">
        <v>2.5</v>
      </c>
      <c r="M34" s="36">
        <f>K34*L34</f>
        <v/>
      </c>
      <c r="N34" s="35" t="n">
        <v>4.5</v>
      </c>
      <c r="O34" s="35" t="n">
        <v>4</v>
      </c>
      <c r="P34" s="36">
        <f>N34+O34</f>
        <v/>
      </c>
      <c r="Q34" s="36">
        <f>N34*O34</f>
        <v/>
      </c>
      <c r="R34" s="36">
        <f>M34/P34</f>
        <v/>
      </c>
      <c r="S34" s="36">
        <f>M34/Q34</f>
        <v/>
      </c>
      <c r="T34" s="36">
        <f>R34/S34</f>
        <v/>
      </c>
      <c r="U34" s="33">
        <f>IF(T34&lt;2,"GREEN",IF(T34&lt;5,"AMBER","RED"))</f>
        <v/>
      </c>
      <c r="V34" s="32" t="inlineStr">
        <is>
          <t>Med</t>
        </is>
      </c>
      <c r="W34" s="32" t="inlineStr">
        <is>
          <t>Med</t>
        </is>
      </c>
      <c r="X34" s="32" t="inlineStr">
        <is>
          <t>High</t>
        </is>
      </c>
      <c r="Y34" s="34" t="inlineStr">
        <is>
          <t>Outrider significance — outsized global impact relative to population.</t>
        </is>
      </c>
    </row>
    <row r="35">
      <c r="A35" s="32" t="n">
        <v>34</v>
      </c>
      <c r="B35" s="32" t="inlineStr">
        <is>
          <t>2003</t>
        </is>
      </c>
      <c r="C35" s="33" t="inlineStr">
        <is>
          <t>Iraq War (Infrastructure Destruction)</t>
        </is>
      </c>
      <c r="D35" s="32" t="inlineStr">
        <is>
          <t>Bridge</t>
        </is>
      </c>
      <c r="E35" s="32" t="inlineStr">
        <is>
          <t>Build-Destroy-Rebuild (imposed)</t>
        </is>
      </c>
      <c r="F35" s="32" t="inlineStr">
        <is>
          <t>R05 Roads, R09 Engine</t>
        </is>
      </c>
      <c r="G35" s="32" t="inlineStr">
        <is>
          <t>Power</t>
        </is>
      </c>
      <c r="H35" s="32" t="inlineStr">
        <is>
          <t>Conflict</t>
        </is>
      </c>
      <c r="I35" s="34" t="inlineStr">
        <is>
          <t>US-led Coalition (imposed on Iraq)</t>
        </is>
      </c>
      <c r="J35" s="32" t="inlineStr">
        <is>
          <t>Maslow</t>
        </is>
      </c>
      <c r="K35" s="35" t="n">
        <v>3</v>
      </c>
      <c r="L35" s="35" t="n">
        <v>2.2</v>
      </c>
      <c r="M35" s="36">
        <f>K35*L35</f>
        <v/>
      </c>
      <c r="N35" s="35" t="n">
        <v>8</v>
      </c>
      <c r="O35" s="35" t="n">
        <v>7</v>
      </c>
      <c r="P35" s="36">
        <f>N35+O35</f>
        <v/>
      </c>
      <c r="Q35" s="36">
        <f>N35*O35</f>
        <v/>
      </c>
      <c r="R35" s="36">
        <f>M35/P35</f>
        <v/>
      </c>
      <c r="S35" s="36">
        <f>M35/Q35</f>
        <v/>
      </c>
      <c r="T35" s="36">
        <f>R35/S35</f>
        <v/>
      </c>
      <c r="U35" s="33">
        <f>IF(T35&lt;2,"GREEN",IF(T35&lt;5,"AMBER","RED"))</f>
        <v/>
      </c>
      <c r="V35" s="32" t="inlineStr">
        <is>
          <t>Low</t>
        </is>
      </c>
      <c r="W35" s="32" t="inlineStr">
        <is>
          <t>Low</t>
        </is>
      </c>
      <c r="X35" s="32" t="inlineStr">
        <is>
          <t>Negative</t>
        </is>
      </c>
      <c r="Y35" s="34" t="inlineStr">
        <is>
          <t>Catastrophic debt — $2.4T spent, ongoing instability. ISI₃ &lt; 1.0. Anti-credit.</t>
        </is>
      </c>
    </row>
    <row r="36" ht="23.25" customHeight="1">
      <c r="A36" s="32" t="n">
        <v>35</v>
      </c>
      <c r="B36" s="32" t="inlineStr">
        <is>
          <t>2008</t>
        </is>
      </c>
      <c r="C36" s="33" t="inlineStr">
        <is>
          <t>China High-Speed Rail Network</t>
        </is>
      </c>
      <c r="D36" s="32" t="inlineStr">
        <is>
          <t>East</t>
        </is>
      </c>
      <c r="E36" s="32" t="inlineStr">
        <is>
          <t>Build-Refine-Persist</t>
        </is>
      </c>
      <c r="F36" s="32" t="inlineStr">
        <is>
          <t>R08 Rail, R10 AAA</t>
        </is>
      </c>
      <c r="G36" s="32" t="inlineStr">
        <is>
          <t>Acceleration</t>
        </is>
      </c>
      <c r="H36" s="32" t="inlineStr">
        <is>
          <t>Conflagration</t>
        </is>
      </c>
      <c r="I36" s="34" t="inlineStr">
        <is>
          <t>Chinese State Council / Ministry of Railways</t>
        </is>
      </c>
      <c r="J36" s="32" t="inlineStr">
        <is>
          <t>Sun Tzu</t>
        </is>
      </c>
      <c r="K36" s="35" t="n">
        <v>9</v>
      </c>
      <c r="L36" s="35" t="n">
        <v>1.8</v>
      </c>
      <c r="M36" s="36">
        <f>K36*L36</f>
        <v/>
      </c>
      <c r="N36" s="35" t="n">
        <v>4</v>
      </c>
      <c r="O36" s="35" t="n">
        <v>3.5</v>
      </c>
      <c r="P36" s="36">
        <f>N36+O36</f>
        <v/>
      </c>
      <c r="Q36" s="36">
        <f>N36*O36</f>
        <v/>
      </c>
      <c r="R36" s="36">
        <f>M36/P36</f>
        <v/>
      </c>
      <c r="S36" s="36">
        <f>M36/Q36</f>
        <v/>
      </c>
      <c r="T36" s="36">
        <f>R36/S36</f>
        <v/>
      </c>
      <c r="U36" s="33">
        <f>IF(T36&lt;2,"GREEN",IF(T36&lt;5,"AMBER","RED"))</f>
        <v/>
      </c>
      <c r="V36" s="32" t="inlineStr">
        <is>
          <t>Med-High</t>
        </is>
      </c>
      <c r="W36" s="32" t="inlineStr">
        <is>
          <t>High</t>
        </is>
      </c>
      <c r="X36" s="32" t="inlineStr">
        <is>
          <t>High</t>
        </is>
      </c>
      <c r="Y36" s="34" t="inlineStr">
        <is>
          <t>40,000km network in 15 years. Modern amplitude with controlled drag. East mode at industrial scale.</t>
        </is>
      </c>
    </row>
    <row r="37">
      <c r="A37" s="32" t="n">
        <v>36</v>
      </c>
      <c r="B37" s="32" t="inlineStr">
        <is>
          <t>2010s</t>
        </is>
      </c>
      <c r="C37" s="33" t="inlineStr">
        <is>
          <t>Aadhaar/UPI Digital Stack (India)</t>
        </is>
      </c>
      <c r="D37" s="32" t="inlineStr">
        <is>
          <t>India</t>
        </is>
      </c>
      <c r="E37" s="32" t="inlineStr">
        <is>
          <t>Analytical Integration</t>
        </is>
      </c>
      <c r="F37" s="32" t="inlineStr">
        <is>
          <t>R12 Human Nodes</t>
        </is>
      </c>
      <c r="G37" s="32" t="inlineStr">
        <is>
          <t>Cognition</t>
        </is>
      </c>
      <c r="H37" s="32" t="inlineStr">
        <is>
          <t>Conflict</t>
        </is>
      </c>
      <c r="I37" s="34" t="inlineStr">
        <is>
          <t>Nandan Nilekani / Indian Government (UIDAI, NPCI)</t>
        </is>
      </c>
      <c r="J37" s="32" t="inlineStr">
        <is>
          <t>Turing</t>
        </is>
      </c>
      <c r="K37" s="35" t="n">
        <v>8.5</v>
      </c>
      <c r="L37" s="35" t="n">
        <v>1.6</v>
      </c>
      <c r="M37" s="36">
        <f>K37*L37</f>
        <v/>
      </c>
      <c r="N37" s="35" t="n">
        <v>4</v>
      </c>
      <c r="O37" s="35" t="n">
        <v>3.5</v>
      </c>
      <c r="P37" s="36">
        <f>N37+O37</f>
        <v/>
      </c>
      <c r="Q37" s="36">
        <f>N37*O37</f>
        <v/>
      </c>
      <c r="R37" s="36">
        <f>M37/P37</f>
        <v/>
      </c>
      <c r="S37" s="36">
        <f>M37/Q37</f>
        <v/>
      </c>
      <c r="T37" s="36">
        <f>R37/S37</f>
        <v/>
      </c>
      <c r="U37" s="33">
        <f>IF(T37&lt;2,"GREEN",IF(T37&lt;5,"AMBER","RED"))</f>
        <v/>
      </c>
      <c r="V37" s="32" t="inlineStr">
        <is>
          <t>Med</t>
        </is>
      </c>
      <c r="W37" s="32" t="inlineStr">
        <is>
          <t>High</t>
        </is>
      </c>
      <c r="X37" s="32" t="inlineStr">
        <is>
          <t>Very High</t>
        </is>
      </c>
      <c r="Y37" s="34" t="inlineStr">
        <is>
          <t>R12 at 1.4B scale — digital identity as civilisational infrastructure.</t>
        </is>
      </c>
    </row>
    <row r="38" ht="23.25" customHeight="1">
      <c r="A38" s="37" t="n">
        <v>37</v>
      </c>
      <c r="B38" s="37" t="inlineStr">
        <is>
          <t>2026+</t>
        </is>
      </c>
      <c r="C38" s="38" t="inlineStr">
        <is>
          <t>Global AI Safety Framework (Aspirational)</t>
        </is>
      </c>
      <c r="D38" s="37" t="inlineStr">
        <is>
          <t>Unified</t>
        </is>
      </c>
      <c r="E38" s="37" t="inlineStr">
        <is>
          <t>Convergence</t>
        </is>
      </c>
      <c r="F38" s="37" t="inlineStr">
        <is>
          <t>R12 Human Nodes</t>
        </is>
      </c>
      <c r="G38" s="37" t="inlineStr">
        <is>
          <t>Cognition</t>
        </is>
      </c>
      <c r="H38" s="37" t="inlineStr">
        <is>
          <t>Conflict</t>
        </is>
      </c>
      <c r="I38" s="39" t="inlineStr">
        <is>
          <t>Multi-national (proposed — G7/UN/IEEE/iAAi)</t>
        </is>
      </c>
      <c r="J38" s="37" t="inlineStr">
        <is>
          <t>Dearden</t>
        </is>
      </c>
      <c r="K38" s="40" t="n">
        <v>9</v>
      </c>
      <c r="L38" s="40" t="n">
        <v>1</v>
      </c>
      <c r="M38" s="41">
        <f>K38*L38</f>
        <v/>
      </c>
      <c r="N38" s="40" t="n">
        <v>5.5</v>
      </c>
      <c r="O38" s="40" t="n">
        <v>5</v>
      </c>
      <c r="P38" s="41">
        <f>N38+O38</f>
        <v/>
      </c>
      <c r="Q38" s="41">
        <f>N38*O38</f>
        <v/>
      </c>
      <c r="R38" s="41">
        <f>M38/P38</f>
        <v/>
      </c>
      <c r="S38" s="41">
        <f>M38/Q38</f>
        <v/>
      </c>
      <c r="T38" s="41">
        <f>R38/S38</f>
        <v/>
      </c>
      <c r="U38" s="38">
        <f>IF(T38&lt;2,"GREEN",IF(T38&lt;5,"AMBER","RED"))</f>
        <v/>
      </c>
      <c r="V38" s="37" t="inlineStr">
        <is>
          <t>High</t>
        </is>
      </c>
      <c r="W38" s="37" t="inlineStr">
        <is>
          <t>High</t>
        </is>
      </c>
      <c r="X38" s="37" t="inlineStr">
        <is>
          <t>Very High</t>
        </is>
      </c>
      <c r="Y38" s="39" t="inlineStr">
        <is>
          <t>Marshall Plan for Cognition — aspirational Super-Credit if done jointly. FC13 engagement point.</t>
        </is>
      </c>
    </row>
  </sheetData>
  <conditionalFormatting sqref="U2:U38">
    <cfRule type="cellIs" priority="1" operator="equal" dxfId="2">
      <formula>"GREEN"</formula>
    </cfRule>
    <cfRule type="cellIs" priority="2" operator="equal" dxfId="1">
      <formula>"AMBER"</formula>
    </cfRule>
    <cfRule type="cellIs" priority="3" operator="equal" dxfId="0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4" customWidth="1" min="4" max="4"/>
    <col width="12" customWidth="1" min="5" max="5"/>
    <col width="12" customWidth="1" min="6" max="6"/>
    <col width="30" customWidth="1" min="7" max="7"/>
    <col width="14" customWidth="1" min="8" max="8"/>
  </cols>
  <sheetData>
    <row r="1">
      <c r="A1" s="51" t="inlineStr">
        <is>
          <t>Part 3 #</t>
        </is>
      </c>
      <c r="B1" s="51" t="inlineStr">
        <is>
          <t>Project Name</t>
        </is>
      </c>
      <c r="C1" s="51" t="inlineStr">
        <is>
          <t>ISI Score</t>
        </is>
      </c>
      <c r="D1" s="51" t="inlineStr">
        <is>
          <t>A (Amplitude)</t>
        </is>
      </c>
      <c r="E1" s="51" t="inlineStr">
        <is>
          <t>P (Period)</t>
        </is>
      </c>
      <c r="F1" s="51" t="inlineStr">
        <is>
          <t>β (Damping)</t>
        </is>
      </c>
      <c r="G1" s="51" t="inlineStr">
        <is>
          <t>Primary Relay(s)</t>
        </is>
      </c>
      <c r="H1" s="51" t="inlineStr">
        <is>
          <t>Tier</t>
        </is>
      </c>
    </row>
    <row r="2">
      <c r="A2" s="52" t="n">
        <v>1</v>
      </c>
      <c r="B2" s="53" t="inlineStr">
        <is>
          <t>National Road Network</t>
        </is>
      </c>
      <c r="C2" s="54" t="n">
        <v>0.6999999999999998</v>
      </c>
      <c r="D2" s="54" t="n">
        <v>0.8</v>
      </c>
      <c r="E2" s="54" t="n">
        <v>0.7</v>
      </c>
      <c r="F2" s="54" t="n">
        <v>0.4</v>
      </c>
      <c r="G2" s="53" t="inlineStr">
        <is>
          <t>R05 Roads</t>
        </is>
      </c>
      <c r="H2" s="55" t="inlineStr">
        <is>
          <t>GOOD</t>
        </is>
      </c>
    </row>
    <row r="3">
      <c r="A3" s="52" t="n">
        <v>2</v>
      </c>
      <c r="B3" s="53" t="inlineStr">
        <is>
          <t>Urban Metro System</t>
        </is>
      </c>
      <c r="C3" s="54" t="n">
        <v>0.8571428571428573</v>
      </c>
      <c r="D3" s="54" t="n">
        <v>0.75</v>
      </c>
      <c r="E3" s="54" t="n">
        <v>0.8</v>
      </c>
      <c r="F3" s="54" t="n">
        <v>0.35</v>
      </c>
      <c r="G3" s="53" t="inlineStr">
        <is>
          <t>R08 Rail</t>
        </is>
      </c>
      <c r="H3" s="55" t="inlineStr">
        <is>
          <t>GOOD</t>
        </is>
      </c>
    </row>
    <row r="4">
      <c r="A4" s="52" t="n">
        <v>3</v>
      </c>
      <c r="B4" s="53" t="inlineStr">
        <is>
          <t>High-Voltage Power Grid</t>
        </is>
      </c>
      <c r="C4" s="54" t="n">
        <v>0.51</v>
      </c>
      <c r="D4" s="54" t="n">
        <v>0.85</v>
      </c>
      <c r="E4" s="54" t="n">
        <v>0.6</v>
      </c>
      <c r="F4" s="54" t="n">
        <v>0.5</v>
      </c>
      <c r="G4" s="53" t="inlineStr">
        <is>
          <t>R09 Engine / R11 Orbit</t>
        </is>
      </c>
      <c r="H4" s="56" t="inlineStr">
        <is>
          <t>WARNING</t>
        </is>
      </c>
    </row>
    <row r="5">
      <c r="A5" s="52" t="n">
        <v>4</v>
      </c>
      <c r="B5" s="53" t="inlineStr">
        <is>
          <t>Local Distribution Grid</t>
        </is>
      </c>
      <c r="C5" s="54" t="n">
        <v>0.8749999999999999</v>
      </c>
      <c r="D5" s="54" t="n">
        <v>0.7</v>
      </c>
      <c r="E5" s="54" t="n">
        <v>0.75</v>
      </c>
      <c r="F5" s="54" t="n">
        <v>0.3</v>
      </c>
      <c r="G5" s="53" t="inlineStr">
        <is>
          <t>R09 Engine</t>
        </is>
      </c>
      <c r="H5" s="57" t="inlineStr">
        <is>
          <t>EXCELLENT</t>
        </is>
      </c>
    </row>
    <row r="6">
      <c r="A6" s="52" t="n">
        <v>5</v>
      </c>
      <c r="B6" s="53" t="inlineStr">
        <is>
          <t>Municipal Water Supply</t>
        </is>
      </c>
      <c r="C6" s="54" t="n">
        <v>1.36</v>
      </c>
      <c r="D6" s="54" t="n">
        <v>0.8</v>
      </c>
      <c r="E6" s="54" t="n">
        <v>0.85</v>
      </c>
      <c r="F6" s="54" t="n">
        <v>0.25</v>
      </c>
      <c r="G6" s="53" t="inlineStr">
        <is>
          <t>R03 River</t>
        </is>
      </c>
      <c r="H6" s="57" t="inlineStr">
        <is>
          <t>EXCELLENT</t>
        </is>
      </c>
    </row>
    <row r="7">
      <c r="A7" s="52" t="n">
        <v>6</v>
      </c>
      <c r="B7" s="53" t="inlineStr">
        <is>
          <t>Wastewater/Sewerage</t>
        </is>
      </c>
      <c r="C7" s="54" t="n">
        <v>0.6562499999999999</v>
      </c>
      <c r="D7" s="54" t="n">
        <v>0.75</v>
      </c>
      <c r="E7" s="54" t="n">
        <v>0.7</v>
      </c>
      <c r="F7" s="54" t="n">
        <v>0.4</v>
      </c>
      <c r="G7" s="53" t="inlineStr">
        <is>
          <t>R03 River / R02 Tree</t>
        </is>
      </c>
      <c r="H7" s="55" t="inlineStr">
        <is>
          <t>GOOD</t>
        </is>
      </c>
    </row>
    <row r="8">
      <c r="A8" s="52" t="n">
        <v>7</v>
      </c>
      <c r="B8" s="53" t="inlineStr">
        <is>
          <t>Stormwater/Flood Management</t>
        </is>
      </c>
      <c r="C8" s="54" t="n">
        <v>0.2205882352941176</v>
      </c>
      <c r="D8" s="54" t="n">
        <v>0.6</v>
      </c>
      <c r="E8" s="54" t="n">
        <v>0.5</v>
      </c>
      <c r="F8" s="54" t="n">
        <v>0.68</v>
      </c>
      <c r="G8" s="53" t="inlineStr">
        <is>
          <t>R03 River</t>
        </is>
      </c>
      <c r="H8" s="58" t="inlineStr">
        <is>
          <t>CRITICAL</t>
        </is>
      </c>
    </row>
    <row r="9">
      <c r="A9" s="52" t="n">
        <v>8</v>
      </c>
      <c r="B9" s="53" t="inlineStr">
        <is>
          <t>Fixed-Line Telecom</t>
        </is>
      </c>
      <c r="C9" s="54" t="n">
        <v>1.7</v>
      </c>
      <c r="D9" s="54" t="n">
        <v>0.85</v>
      </c>
      <c r="E9" s="54" t="n">
        <v>0.8</v>
      </c>
      <c r="F9" s="54" t="n">
        <v>0.2</v>
      </c>
      <c r="G9" s="53" t="inlineStr">
        <is>
          <t>R07 Loom</t>
        </is>
      </c>
      <c r="H9" s="57" t="inlineStr">
        <is>
          <t>EXCELLENT</t>
        </is>
      </c>
    </row>
    <row r="10">
      <c r="A10" s="52" t="n">
        <v>9</v>
      </c>
      <c r="B10" s="53" t="inlineStr">
        <is>
          <t>Mobile Network (4G/5G)</t>
        </is>
      </c>
      <c r="C10" s="54" t="n">
        <v>0.7999999999999999</v>
      </c>
      <c r="D10" s="54" t="n">
        <v>0.8</v>
      </c>
      <c r="E10" s="54" t="n">
        <v>0.7</v>
      </c>
      <c r="F10" s="54" t="n">
        <v>0.35</v>
      </c>
      <c r="G10" s="53" t="inlineStr">
        <is>
          <t>R10 AAA</t>
        </is>
      </c>
      <c r="H10" s="55" t="inlineStr">
        <is>
          <t>GOOD</t>
        </is>
      </c>
    </row>
    <row r="11">
      <c r="A11" s="52" t="n">
        <v>10</v>
      </c>
      <c r="B11" s="53" t="inlineStr">
        <is>
          <t>National Data Centre/Cloud</t>
        </is>
      </c>
      <c r="C11" s="54" t="n">
        <v>1.366071428571428</v>
      </c>
      <c r="D11" s="54" t="n">
        <v>0.9</v>
      </c>
      <c r="E11" s="54" t="n">
        <v>0.85</v>
      </c>
      <c r="F11" s="54" t="n">
        <v>0.28</v>
      </c>
      <c r="G11" s="53" t="inlineStr">
        <is>
          <t>R07 Loom / R12 Human Nodes</t>
        </is>
      </c>
      <c r="H11" s="57" t="inlineStr">
        <is>
          <t>EXCELLENT</t>
        </is>
      </c>
    </row>
    <row r="12">
      <c r="A12" s="52" t="n">
        <v>11</v>
      </c>
      <c r="B12" s="53" t="inlineStr">
        <is>
          <t>Port Infrastructure</t>
        </is>
      </c>
      <c r="C12" s="54" t="n">
        <v>0.5416666666666667</v>
      </c>
      <c r="D12" s="54" t="n">
        <v>0.75</v>
      </c>
      <c r="E12" s="54" t="n">
        <v>0.65</v>
      </c>
      <c r="F12" s="54" t="n">
        <v>0.45</v>
      </c>
      <c r="G12" s="53" t="inlineStr">
        <is>
          <t>R06 Ships</t>
        </is>
      </c>
      <c r="H12" s="56" t="inlineStr">
        <is>
          <t>WARNING</t>
        </is>
      </c>
    </row>
    <row r="13">
      <c r="A13" s="52" t="n">
        <v>12</v>
      </c>
      <c r="B13" s="53" t="inlineStr">
        <is>
          <t>Airport System</t>
        </is>
      </c>
      <c r="C13" s="54" t="n">
        <v>1</v>
      </c>
      <c r="D13" s="54" t="n">
        <v>0.8</v>
      </c>
      <c r="E13" s="54" t="n">
        <v>0.75</v>
      </c>
      <c r="F13" s="54" t="n">
        <v>0.3</v>
      </c>
      <c r="G13" s="53" t="inlineStr">
        <is>
          <t>R10 AAA</t>
        </is>
      </c>
      <c r="H13" s="57" t="inlineStr">
        <is>
          <t>EXCELLENT</t>
        </is>
      </c>
    </row>
    <row r="14">
      <c r="A14" s="52" t="n">
        <v>13</v>
      </c>
      <c r="B14" s="53" t="inlineStr">
        <is>
          <t>Rail Freight Network</t>
        </is>
      </c>
      <c r="C14" s="54" t="n">
        <v>0.42</v>
      </c>
      <c r="D14" s="54" t="n">
        <v>0.7</v>
      </c>
      <c r="E14" s="54" t="n">
        <v>0.6</v>
      </c>
      <c r="F14" s="54" t="n">
        <v>0.5</v>
      </c>
      <c r="G14" s="53" t="inlineStr">
        <is>
          <t>R08 Rail</t>
        </is>
      </c>
      <c r="H14" s="58" t="inlineStr">
        <is>
          <t>CRITICAL</t>
        </is>
      </c>
    </row>
    <row r="15">
      <c r="A15" s="52" t="n">
        <v>14</v>
      </c>
      <c r="B15" s="53" t="inlineStr">
        <is>
          <t>Urban Public Transport</t>
        </is>
      </c>
      <c r="C15" s="54" t="n">
        <v>0.6562499999999999</v>
      </c>
      <c r="D15" s="54" t="n">
        <v>0.75</v>
      </c>
      <c r="E15" s="54" t="n">
        <v>0.7</v>
      </c>
      <c r="F15" s="54" t="n">
        <v>0.4</v>
      </c>
      <c r="G15" s="53" t="inlineStr">
        <is>
          <t>R05 Roads / R08 Rail</t>
        </is>
      </c>
      <c r="H15" s="55" t="inlineStr">
        <is>
          <t>GOOD</t>
        </is>
      </c>
    </row>
    <row r="16">
      <c r="A16" s="52" t="n">
        <v>15</v>
      </c>
      <c r="B16" s="53" t="inlineStr">
        <is>
          <t>Solid Waste Management</t>
        </is>
      </c>
      <c r="C16" s="54" t="n">
        <v>0.325</v>
      </c>
      <c r="D16" s="54" t="n">
        <v>0.65</v>
      </c>
      <c r="E16" s="54" t="n">
        <v>0.55</v>
      </c>
      <c r="F16" s="54" t="n">
        <v>0.55</v>
      </c>
      <c r="G16" s="53" t="inlineStr">
        <is>
          <t>R02 Tree / R03 River</t>
        </is>
      </c>
      <c r="H16" s="58" t="inlineStr">
        <is>
          <t>CRITICAL</t>
        </is>
      </c>
    </row>
    <row r="17">
      <c r="A17" s="52" t="n">
        <v>16</v>
      </c>
      <c r="B17" s="53" t="inlineStr">
        <is>
          <t>National Health Infrastructure</t>
        </is>
      </c>
      <c r="C17" s="54" t="n">
        <v>0.7500000000000001</v>
      </c>
      <c r="D17" s="54" t="n">
        <v>0.8</v>
      </c>
      <c r="E17" s="54" t="n">
        <v>0.75</v>
      </c>
      <c r="F17" s="54" t="n">
        <v>0.4</v>
      </c>
      <c r="G17" s="53" t="inlineStr">
        <is>
          <t>R12 Human Nodes</t>
        </is>
      </c>
      <c r="H17" s="55" t="inlineStr">
        <is>
          <t>GOOD</t>
        </is>
      </c>
    </row>
    <row r="18">
      <c r="A18" s="52" t="n">
        <v>17</v>
      </c>
      <c r="B18" s="53" t="inlineStr">
        <is>
          <t>Education System (K-12)</t>
        </is>
      </c>
      <c r="C18" s="54" t="n">
        <v>0.7499999999999999</v>
      </c>
      <c r="D18" s="54" t="n">
        <v>0.75</v>
      </c>
      <c r="E18" s="54" t="n">
        <v>0.7</v>
      </c>
      <c r="F18" s="54" t="n">
        <v>0.35</v>
      </c>
      <c r="G18" s="53" t="inlineStr">
        <is>
          <t>R12 Human Nodes / R07 Loom</t>
        </is>
      </c>
      <c r="H18" s="55" t="inlineStr">
        <is>
          <t>GOOD</t>
        </is>
      </c>
    </row>
    <row r="19">
      <c r="A19" s="52" t="n">
        <v>18</v>
      </c>
      <c r="B19" s="53" t="inlineStr">
        <is>
          <t>Higher Education/Research</t>
        </is>
      </c>
      <c r="C19" s="54" t="n">
        <v>1.36</v>
      </c>
      <c r="D19" s="54" t="n">
        <v>0.85</v>
      </c>
      <c r="E19" s="54" t="n">
        <v>0.8</v>
      </c>
      <c r="F19" s="54" t="n">
        <v>0.25</v>
      </c>
      <c r="G19" s="53" t="inlineStr">
        <is>
          <t>R12 Human Nodes / R07 Loom</t>
        </is>
      </c>
      <c r="H19" s="57" t="inlineStr">
        <is>
          <t>EXCELLENT</t>
        </is>
      </c>
    </row>
    <row r="20">
      <c r="A20" s="52" t="n">
        <v>19</v>
      </c>
      <c r="B20" s="53" t="inlineStr">
        <is>
          <t>Emergency Response System</t>
        </is>
      </c>
      <c r="C20" s="54" t="n">
        <v>0.4482758620689656</v>
      </c>
      <c r="D20" s="54" t="n">
        <v>0.8</v>
      </c>
      <c r="E20" s="54" t="n">
        <v>0.65</v>
      </c>
      <c r="F20" s="54" t="n">
        <v>0.58</v>
      </c>
      <c r="G20" s="53" t="inlineStr">
        <is>
          <t>R01 Fire / R05 Roads / R12 Human Nodes</t>
        </is>
      </c>
      <c r="H20" s="56" t="inlineStr">
        <is>
          <t>WARNING</t>
        </is>
      </c>
    </row>
    <row r="21">
      <c r="A21" s="52" t="n">
        <v>20</v>
      </c>
      <c r="B21" s="53" t="inlineStr">
        <is>
          <t>Digital Identity/Civil Registry</t>
        </is>
      </c>
      <c r="C21" s="54" t="n">
        <v>1.8</v>
      </c>
      <c r="D21" s="54" t="n">
        <v>0.9</v>
      </c>
      <c r="E21" s="54" t="n">
        <v>0.8</v>
      </c>
      <c r="F21" s="54" t="n">
        <v>0.2</v>
      </c>
      <c r="G21" s="53" t="inlineStr">
        <is>
          <t>R07 Loom / R12 Human Nodes</t>
        </is>
      </c>
      <c r="H21" s="57" t="inlineStr">
        <is>
          <t>EXCELLENT</t>
        </is>
      </c>
    </row>
    <row r="22">
      <c r="A22" s="52" t="n">
        <v>21</v>
      </c>
      <c r="B22" s="53" t="inlineStr">
        <is>
          <t>Climate Monitoring Network</t>
        </is>
      </c>
      <c r="C22" s="54" t="n">
        <v>0.3818181818181818</v>
      </c>
      <c r="D22" s="54" t="n">
        <v>0.7</v>
      </c>
      <c r="E22" s="54" t="n">
        <v>0.6</v>
      </c>
      <c r="F22" s="54" t="n">
        <v>0.55</v>
      </c>
      <c r="G22" s="53" t="inlineStr">
        <is>
          <t>R11 Orbit / R03 River</t>
        </is>
      </c>
      <c r="H22" s="56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.05859375" customWidth="1" min="1" max="1"/>
    <col width="50.04296875" customWidth="1" min="2" max="2"/>
    <col width="55.01953125" customWidth="1" min="3" max="3"/>
    <col width="9.953125" customWidth="1" min="4" max="4"/>
    <col width="55.01953125" customWidth="1" min="5" max="5"/>
  </cols>
  <sheetData>
    <row r="1">
      <c r="A1" s="1" t="inlineStr">
        <is>
          <t>Category</t>
        </is>
      </c>
      <c r="B1" s="1" t="inlineStr">
        <is>
          <t>Statistic</t>
        </is>
      </c>
      <c r="C1" s="1" t="inlineStr">
        <is>
          <t>Source</t>
        </is>
      </c>
      <c r="D1" s="1" t="inlineStr">
        <is>
          <t>Year</t>
        </is>
      </c>
      <c r="E1" s="1" t="inlineStr">
        <is>
          <t>iAAi Response</t>
        </is>
      </c>
    </row>
    <row r="2">
      <c r="A2" s="42" t="inlineStr">
        <is>
          <t>Fragmented Learning</t>
        </is>
      </c>
      <c r="B2" s="42" t="inlineStr">
        <is>
          <t>70% of curriculums lack interdisciplinary integration</t>
        </is>
      </c>
      <c r="C2" s="42" t="inlineStr">
        <is>
          <t>Hong, T. (2025), Nature, 588(7843), 122-125</t>
        </is>
      </c>
      <c r="D2" s="42" t="inlineStr">
        <is>
          <t>2025</t>
        </is>
      </c>
      <c r="E2" s="42" t="inlineStr">
        <is>
          <t>ISI framework integrates 12 relays across all disciplines into single coherent system</t>
        </is>
      </c>
    </row>
    <row r="3">
      <c r="A3" s="42" t="inlineStr">
        <is>
          <t>Fragmented Learning</t>
        </is>
      </c>
      <c r="B3" s="42" t="inlineStr">
        <is>
          <t>45% of graduates report limited exposure to system-level thinking</t>
        </is>
      </c>
      <c r="C3" s="42" t="inlineStr">
        <is>
          <t>AAC&amp;U (2023), 'The Future of Undergraduate Education and the Systems View'</t>
        </is>
      </c>
      <c r="D3" s="42" t="inlineStr">
        <is>
          <t>2023</t>
        </is>
      </c>
      <c r="E3" s="42" t="inlineStr">
        <is>
          <t>HICE + ISI provides individual-to-civilisational system mapping</t>
        </is>
      </c>
    </row>
    <row r="4">
      <c r="A4" s="42" t="inlineStr">
        <is>
          <t>Abstract Concepts</t>
        </is>
      </c>
      <c r="B4" s="42" t="inlineStr">
        <is>
          <t>65% of students feel unprepared for practical application</t>
        </is>
      </c>
      <c r="C4" s="42" t="inlineStr">
        <is>
          <t>Hult International Business School / NACE (2025)</t>
        </is>
      </c>
      <c r="D4" s="42" t="inlineStr">
        <is>
          <t>2025</t>
        </is>
      </c>
      <c r="E4" s="42" t="inlineStr">
        <is>
          <t>37 worked examples with real infrastructure cases, not abstractions</t>
        </is>
      </c>
    </row>
    <row r="5">
      <c r="A5" s="42" t="inlineStr">
        <is>
          <t>Abstract Concepts</t>
        </is>
      </c>
      <c r="B5" s="42" t="inlineStr">
        <is>
          <t>80% of employers see a skills gap in project readiness</t>
        </is>
      </c>
      <c r="C5" s="42" t="inlineStr">
        <is>
          <t>Ibec (2026) / McKinsey &amp; Company (2022), 'Infrastructure Skills for the Future'</t>
        </is>
      </c>
      <c r="D5" s="42" t="inlineStr">
        <is>
          <t>2022/2026</t>
        </is>
      </c>
      <c r="E5" s="42" t="inlineStr">
        <is>
          <t>ISI scoring teaches real-world decision-making with measurable outcomes</t>
        </is>
      </c>
    </row>
    <row r="6" ht="23.25" customHeight="1">
      <c r="A6" s="42" t="inlineStr">
        <is>
          <t>Disconnected from Impact</t>
        </is>
      </c>
      <c r="B6" s="42" t="inlineStr">
        <is>
          <t>Only 30% of programs integrate community or environmental impact metrics</t>
        </is>
      </c>
      <c r="C6" s="42" t="inlineStr">
        <is>
          <t>Leifler, M. &amp; Dahlin, J. (2020), IJSHE, 'Curriculum Integration of Sustainability'</t>
        </is>
      </c>
      <c r="D6" s="42" t="inlineStr">
        <is>
          <t>2020</t>
        </is>
      </c>
      <c r="E6" s="42" t="inlineStr">
        <is>
          <t>ISI₁ (Sustainability) is first-order metric — not optional, not add-on</t>
        </is>
      </c>
    </row>
    <row r="7">
      <c r="A7" s="42" t="inlineStr">
        <is>
          <t>Disconnected from Impact</t>
        </is>
      </c>
      <c r="B7" s="42" t="inlineStr">
        <is>
          <t>90% of infrastructure projects face delays due to practical knowledge gaps</t>
        </is>
      </c>
      <c r="C7" s="42" t="inlineStr">
        <is>
          <t>Flyvbjerg, B. (2014), Project Management Journal, 45(2)</t>
        </is>
      </c>
      <c r="D7" s="42" t="inlineStr">
        <is>
          <t>2014</t>
        </is>
      </c>
      <c r="E7" s="42" t="inlineStr">
        <is>
          <t>β-tested resistance framework quantifies real drag — not theoretical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.0234375" customWidth="1" min="1" max="2"/>
    <col width="29.99609375" customWidth="1" min="3" max="3"/>
    <col width="22.05859375" customWidth="1" min="4" max="4"/>
    <col width="39.953125" customWidth="1" min="5" max="6"/>
    <col width="13.98828125" customWidth="1" min="7" max="7"/>
  </cols>
  <sheetData>
    <row r="1">
      <c r="A1" s="1" t="inlineStr">
        <is>
          <t>Web</t>
        </is>
      </c>
      <c r="B1" s="1" t="inlineStr">
        <is>
          <t>Dyad Type</t>
        </is>
      </c>
      <c r="C1" s="1" t="inlineStr">
        <is>
          <t>Non-Human Partner</t>
        </is>
      </c>
      <c r="D1" s="1" t="inlineStr">
        <is>
          <t>Cognitive Contribution</t>
        </is>
      </c>
      <c r="E1" s="1" t="inlineStr">
        <is>
          <t>Examples</t>
        </is>
      </c>
      <c r="F1" s="1" t="inlineStr">
        <is>
          <t>Governance</t>
        </is>
      </c>
      <c r="G1" s="1" t="inlineStr">
        <is>
          <t>Safety Domain</t>
        </is>
      </c>
    </row>
    <row r="2">
      <c r="A2" s="42" t="inlineStr">
        <is>
          <t>Physical Web</t>
        </is>
      </c>
      <c r="B2" s="42" t="inlineStr">
        <is>
          <t>Mechanical Dyad</t>
        </is>
      </c>
      <c r="C2" s="42" t="inlineStr">
        <is>
          <t>Inert machine</t>
        </is>
      </c>
      <c r="D2" s="42" t="inlineStr">
        <is>
          <t>None</t>
        </is>
      </c>
      <c r="E2" s="42" t="inlineStr">
        <is>
          <t>Bicycle, cart, train, crane</t>
        </is>
      </c>
      <c r="F2" s="42" t="inlineStr">
        <is>
          <t>Safety is physical (engineering standards)</t>
        </is>
      </c>
      <c r="G2" s="42" t="inlineStr">
        <is>
          <t>Physical</t>
        </is>
      </c>
    </row>
    <row r="3">
      <c r="A3" s="42" t="inlineStr">
        <is>
          <t>Biological Web</t>
        </is>
      </c>
      <c r="B3" s="42" t="inlineStr">
        <is>
          <t>Animal Dyad</t>
        </is>
      </c>
      <c r="C3" s="42" t="inlineStr">
        <is>
          <t>Horse, ox, dog, elephant</t>
        </is>
      </c>
      <c r="D3" s="42" t="inlineStr">
        <is>
          <t>Instinct only</t>
        </is>
      </c>
      <c r="E3" s="42" t="inlineStr">
        <is>
          <t>Horse-rider, ox-plough, falconry</t>
        </is>
      </c>
      <c r="F3" s="42" t="inlineStr">
        <is>
          <t>Safety is behavioural (training, domestication)</t>
        </is>
      </c>
      <c r="G3" s="42" t="inlineStr">
        <is>
          <t>Behavioural</t>
        </is>
      </c>
    </row>
    <row r="4">
      <c r="A4" s="42" t="inlineStr">
        <is>
          <t>Social Web</t>
        </is>
      </c>
      <c r="B4" s="42" t="inlineStr">
        <is>
          <t>Human-Human Dyad</t>
        </is>
      </c>
      <c r="C4" s="42" t="inlineStr">
        <is>
          <t>Another human</t>
        </is>
      </c>
      <c r="D4" s="42" t="inlineStr">
        <is>
          <t>Symmetric cognition</t>
        </is>
      </c>
      <c r="E4" s="42" t="inlineStr">
        <is>
          <t>Marriage, partnership, team dyads</t>
        </is>
      </c>
      <c r="F4" s="42" t="inlineStr">
        <is>
          <t>Safety is emotional (trust, norms, contracts)</t>
        </is>
      </c>
      <c r="G4" s="42" t="inlineStr">
        <is>
          <t>Emotional</t>
        </is>
      </c>
    </row>
    <row r="5">
      <c r="A5" s="42" t="inlineStr">
        <is>
          <t>Digital Web</t>
        </is>
      </c>
      <c r="B5" s="42" t="inlineStr">
        <is>
          <t>Synthetic Dyad</t>
        </is>
      </c>
      <c r="C5" s="42" t="inlineStr">
        <is>
          <t>AI system</t>
        </is>
      </c>
      <c r="D5" s="42" t="inlineStr">
        <is>
          <t>Asymmetric cognition</t>
        </is>
      </c>
      <c r="E5" s="42" t="inlineStr">
        <is>
          <t>Human + AI co-work, copilots, hybrid decision systems</t>
        </is>
      </c>
      <c r="F5" s="42" t="inlineStr">
        <is>
          <t>Safety is epistemic (beta-tested, Dearden's Law)</t>
        </is>
      </c>
      <c r="G5" s="42" t="inlineStr">
        <is>
          <t>Epistemic</t>
        </is>
      </c>
    </row>
    <row r="6" ht="23.25" customHeight="1">
      <c r="A6" s="42" t="inlineStr">
        <is>
          <t>Consciousness Web</t>
        </is>
      </c>
      <c r="B6" s="42" t="inlineStr">
        <is>
          <t>Meta-Dyad</t>
        </is>
      </c>
      <c r="C6" s="42" t="inlineStr">
        <is>
          <t>Hybrid cognition (human intention + machine intelligence)</t>
        </is>
      </c>
      <c r="D6" s="42" t="inlineStr">
        <is>
          <t>Joint problem-solving</t>
        </is>
      </c>
      <c r="E6" s="42" t="inlineStr">
        <is>
          <t>R12 Human Node, iAAi Dyad, hybrid cognition loops</t>
        </is>
      </c>
      <c r="F6" s="42" t="inlineStr">
        <is>
          <t>Safety is systemic (COUNTERFORCE, SES)</t>
        </is>
      </c>
      <c r="G6" s="42" t="inlineStr">
        <is>
          <t>Systemic</t>
        </is>
      </c>
    </row>
    <row r="9">
      <c r="A9" s="43" t="inlineStr">
        <is>
          <t>MATHEMATICAL INTEGRATION ZONE</t>
        </is>
      </c>
      <c r="B9" s="44" t="n"/>
      <c r="C9" s="44" t="n"/>
      <c r="D9" s="44" t="n"/>
      <c r="E9" s="44" t="n"/>
      <c r="F9" s="44" t="n"/>
      <c r="G9" s="44" t="n"/>
    </row>
    <row r="10">
      <c r="A10" s="45" t="inlineStr">
        <is>
          <t>①</t>
        </is>
      </c>
      <c r="B10" s="46" t="inlineStr">
        <is>
          <t>AD² = 16</t>
        </is>
      </c>
      <c r="C10" s="47" t="inlineStr">
        <is>
          <t>As capability rises, resistance must rise faster</t>
        </is>
      </c>
      <c r="D10" s="48" t="inlineStr">
        <is>
          <t>Applies to Dyads 4-6</t>
        </is>
      </c>
    </row>
    <row r="11">
      <c r="A11" s="45" t="inlineStr">
        <is>
          <t>②</t>
        </is>
      </c>
      <c r="B11" s="46" t="inlineStr">
        <is>
          <t>C_true = (A × P) / β_tested</t>
        </is>
      </c>
      <c r="C11" s="47" t="inlineStr">
        <is>
          <t>Only the Synthetic Dyad requires epistemic safety</t>
        </is>
      </c>
      <c r="D11" s="48" t="inlineStr">
        <is>
          <t>Dyad 4 threshold</t>
        </is>
      </c>
    </row>
    <row r="12">
      <c r="A12" s="45" t="inlineStr">
        <is>
          <t>③</t>
        </is>
      </c>
      <c r="B12" s="46" t="inlineStr">
        <is>
          <t>SES Triad: Speed = A | Efficiency = P | Safety = β_tested</t>
        </is>
      </c>
      <c r="C12" s="47" t="inlineStr">
        <is>
          <t>SES is the control law of the Synthetic Dyad</t>
        </is>
      </c>
      <c r="D12" s="48" t="inlineStr">
        <is>
          <t>Dyad 4-5 governance</t>
        </is>
      </c>
    </row>
    <row r="14">
      <c r="A14" s="49" t="inlineStr">
        <is>
          <t>KEY INSIGHT:</t>
        </is>
      </c>
      <c r="B14" s="50" t="inlineStr">
        <is>
          <t>Dyads 4–6 require epistemic and ethical safety. Dyads 1–3 obey physics and behaviour alone.</t>
        </is>
      </c>
    </row>
    <row r="15">
      <c r="A15" s="49" t="inlineStr">
        <is>
          <t>LOOM POSITION:</t>
        </is>
      </c>
      <c r="B15" s="50" t="inlineStr">
        <is>
          <t>R7 (Loom, 1780 CE) sits at the centre of the relay sequence. The Fabric is woven within the Loom. The Loom is not a thread.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.98828125" customWidth="1" min="1" max="2"/>
    <col width="27.98046875" customWidth="1" min="3" max="3"/>
    <col width="11.97265625" customWidth="1" min="4" max="4"/>
    <col width="13.98828125" customWidth="1" min="5" max="5"/>
    <col width="39.953125" customWidth="1" min="6" max="6"/>
    <col width="11.97265625" customWidth="1" min="7" max="7"/>
    <col width="20.04296875" customWidth="1" min="8" max="8"/>
  </cols>
  <sheetData>
    <row r="1">
      <c r="A1" s="1" t="inlineStr">
        <is>
          <t>Relay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Surplus Type</t>
        </is>
      </c>
      <c r="E1" s="1" t="inlineStr">
        <is>
          <t>Collapse Vector</t>
        </is>
      </c>
      <c r="F1" s="1" t="inlineStr">
        <is>
          <t>First Initiator</t>
        </is>
      </c>
      <c r="G1" s="1" t="inlineStr">
        <is>
          <t>No. Examples</t>
        </is>
      </c>
      <c r="H1" s="1" t="inlineStr">
        <is>
          <t>Zones Covered</t>
        </is>
      </c>
    </row>
    <row r="2">
      <c r="A2" s="42" t="inlineStr">
        <is>
          <t>R01 Fire</t>
        </is>
      </c>
      <c r="B2" s="42" t="inlineStr">
        <is>
          <t>pre-10,000 BCE</t>
        </is>
      </c>
      <c r="C2" s="42" t="inlineStr">
        <is>
          <t>The First Spark of Intent</t>
        </is>
      </c>
      <c r="D2" s="42" t="inlineStr">
        <is>
          <t>Energy</t>
        </is>
      </c>
      <c r="E2" s="42" t="inlineStr">
        <is>
          <t>Conflagration</t>
        </is>
      </c>
      <c r="F2" s="42" t="inlineStr">
        <is>
          <t>Homo erectus (1.5M years ago)</t>
        </is>
      </c>
      <c r="G2" s="42" t="n">
        <v>2</v>
      </c>
      <c r="H2" s="42" t="inlineStr">
        <is>
          <t>Universal</t>
        </is>
      </c>
    </row>
    <row r="3">
      <c r="A3" s="42" t="inlineStr">
        <is>
          <t>R02 Tree</t>
        </is>
      </c>
      <c r="B3" s="42" t="inlineStr">
        <is>
          <t>pre-10,000 BCE</t>
        </is>
      </c>
      <c r="C3" s="42" t="inlineStr">
        <is>
          <t>The First Canopy</t>
        </is>
      </c>
      <c r="D3" s="42" t="inlineStr">
        <is>
          <t>Material</t>
        </is>
      </c>
      <c r="E3" s="42" t="inlineStr">
        <is>
          <t>Consumption</t>
        </is>
      </c>
      <c r="F3" s="42" t="inlineStr">
        <is>
          <t>All civilisations (universal)</t>
        </is>
      </c>
      <c r="G3" s="42" t="n">
        <v>2</v>
      </c>
      <c r="H3" s="42" t="inlineStr">
        <is>
          <t>East, Bridge</t>
        </is>
      </c>
    </row>
    <row r="4">
      <c r="A4" s="42" t="inlineStr">
        <is>
          <t>R03 River</t>
        </is>
      </c>
      <c r="B4" s="42" t="inlineStr">
        <is>
          <t>8,000 BCE</t>
        </is>
      </c>
      <c r="C4" s="42" t="inlineStr">
        <is>
          <t>Cradles of Continuity</t>
        </is>
      </c>
      <c r="D4" s="42" t="inlineStr">
        <is>
          <t>Agricultural</t>
        </is>
      </c>
      <c r="E4" s="42" t="inlineStr">
        <is>
          <t>Climate</t>
        </is>
      </c>
      <c r="F4" s="42" t="inlineStr">
        <is>
          <t>Fertile Crescent / Nile / Indus / Yellow River</t>
        </is>
      </c>
      <c r="G4" s="42" t="n">
        <v>3</v>
      </c>
      <c r="H4" s="42" t="inlineStr">
        <is>
          <t>India, East, West</t>
        </is>
      </c>
    </row>
    <row r="5">
      <c r="A5" s="42" t="inlineStr">
        <is>
          <t>R04 Horse</t>
        </is>
      </c>
      <c r="B5" s="42" t="inlineStr">
        <is>
          <t>4,000 BCE</t>
        </is>
      </c>
      <c r="C5" s="42" t="inlineStr">
        <is>
          <t>Outrider and Engine of Mobility</t>
        </is>
      </c>
      <c r="D5" s="42" t="inlineStr">
        <is>
          <t>Mobility</t>
        </is>
      </c>
      <c r="E5" s="42" t="inlineStr">
        <is>
          <t>Conflict</t>
        </is>
      </c>
      <c r="F5" s="42" t="inlineStr">
        <is>
          <t>Central Asian steppe peoples</t>
        </is>
      </c>
      <c r="G5" s="42" t="n">
        <v>3</v>
      </c>
      <c r="H5" s="42" t="inlineStr">
        <is>
          <t>Bridge, East</t>
        </is>
      </c>
    </row>
    <row r="6">
      <c r="A6" s="42" t="inlineStr">
        <is>
          <t>R05 Roads</t>
        </is>
      </c>
      <c r="B6" s="42" t="inlineStr">
        <is>
          <t>500 BCE</t>
        </is>
      </c>
      <c r="C6" s="42" t="inlineStr">
        <is>
          <t>Infrastructure of Velocity</t>
        </is>
      </c>
      <c r="D6" s="42" t="inlineStr">
        <is>
          <t>Trade</t>
        </is>
      </c>
      <c r="E6" s="42" t="inlineStr">
        <is>
          <t>Conflict</t>
        </is>
      </c>
      <c r="F6" s="42" t="inlineStr">
        <is>
          <t>Roman Republic / Persian Empire</t>
        </is>
      </c>
      <c r="G6" s="42" t="n">
        <v>2</v>
      </c>
      <c r="H6" s="42" t="inlineStr">
        <is>
          <t>West</t>
        </is>
      </c>
    </row>
    <row r="7">
      <c r="A7" s="42" t="inlineStr">
        <is>
          <t>R06 Ships</t>
        </is>
      </c>
      <c r="B7" s="42" t="inlineStr">
        <is>
          <t>500 CE</t>
        </is>
      </c>
      <c r="C7" s="42" t="inlineStr">
        <is>
          <t>Oceans as Superhighways</t>
        </is>
      </c>
      <c r="D7" s="42" t="inlineStr">
        <is>
          <t>Maritime</t>
        </is>
      </c>
      <c r="E7" s="42" t="inlineStr">
        <is>
          <t>Consumption</t>
        </is>
      </c>
      <c r="F7" s="42" t="inlineStr">
        <is>
          <t>Phoenicians → Chinese → Europeans</t>
        </is>
      </c>
      <c r="G7" s="42" t="n">
        <v>2</v>
      </c>
      <c r="H7" s="42" t="inlineStr">
        <is>
          <t>East, West</t>
        </is>
      </c>
    </row>
    <row r="8">
      <c r="A8" s="42" t="inlineStr">
        <is>
          <t>R07 Loom</t>
        </is>
      </c>
      <c r="B8" s="42" t="inlineStr">
        <is>
          <t>1780 CE</t>
        </is>
      </c>
      <c r="C8" s="42" t="inlineStr">
        <is>
          <t>The Binary Birth</t>
        </is>
      </c>
      <c r="D8" s="42" t="inlineStr">
        <is>
          <t>Industrial</t>
        </is>
      </c>
      <c r="E8" s="42" t="inlineStr">
        <is>
          <t>Conflagration</t>
        </is>
      </c>
      <c r="F8" s="42" t="inlineStr">
        <is>
          <t>Joseph Marie Jacquard (France)</t>
        </is>
      </c>
      <c r="G8" s="42" t="n">
        <v>2</v>
      </c>
      <c r="H8" s="42" t="inlineStr">
        <is>
          <t>West</t>
        </is>
      </c>
    </row>
    <row r="9">
      <c r="A9" s="42" t="inlineStr">
        <is>
          <t>R08 Rail</t>
        </is>
      </c>
      <c r="B9" s="42" t="inlineStr">
        <is>
          <t>1830 CE</t>
        </is>
      </c>
      <c r="C9" s="42" t="inlineStr">
        <is>
          <t>The Iron Pulse</t>
        </is>
      </c>
      <c r="D9" s="42" t="inlineStr">
        <is>
          <t>Acceleration</t>
        </is>
      </c>
      <c r="E9" s="42" t="inlineStr">
        <is>
          <t>Conflagration</t>
        </is>
      </c>
      <c r="F9" s="42" t="inlineStr">
        <is>
          <t>George Stephenson (UK)</t>
        </is>
      </c>
      <c r="G9" s="42" t="n">
        <v>3</v>
      </c>
      <c r="H9" s="42" t="inlineStr">
        <is>
          <t>West, East</t>
        </is>
      </c>
    </row>
    <row r="10">
      <c r="A10" s="42" t="inlineStr">
        <is>
          <t>R09 Engine</t>
        </is>
      </c>
      <c r="B10" s="42" t="inlineStr">
        <is>
          <t>1850 CE</t>
        </is>
      </c>
      <c r="C10" s="42" t="inlineStr">
        <is>
          <t>The Relentless Fire</t>
        </is>
      </c>
      <c r="D10" s="42" t="inlineStr">
        <is>
          <t>Power</t>
        </is>
      </c>
      <c r="E10" s="42" t="inlineStr">
        <is>
          <t>Climate</t>
        </is>
      </c>
      <c r="F10" s="42" t="inlineStr">
        <is>
          <t>Newcomen → Watt → Otto → Diesel</t>
        </is>
      </c>
      <c r="G10" s="42" t="n">
        <v>2</v>
      </c>
      <c r="H10" s="42" t="inlineStr">
        <is>
          <t>West, India</t>
        </is>
      </c>
    </row>
    <row r="11">
      <c r="A11" s="42" t="inlineStr">
        <is>
          <t>R10 AAA Triad</t>
        </is>
      </c>
      <c r="B11" s="42" t="inlineStr">
        <is>
          <t>1900 CE</t>
        </is>
      </c>
      <c r="C11" s="42" t="inlineStr">
        <is>
          <t>Automobile, Aviation &amp; Airwaves</t>
        </is>
      </c>
      <c r="D11" s="42" t="inlineStr">
        <is>
          <t>Urban</t>
        </is>
      </c>
      <c r="E11" s="42" t="inlineStr">
        <is>
          <t>Consumption</t>
        </is>
      </c>
      <c r="F11" s="42" t="inlineStr">
        <is>
          <t>Ford / Wright Brothers / Marconi</t>
        </is>
      </c>
      <c r="G11" s="42" t="n">
        <v>4</v>
      </c>
      <c r="H11" s="42" t="inlineStr">
        <is>
          <t>West, APAC</t>
        </is>
      </c>
    </row>
    <row r="12">
      <c r="A12" s="42" t="inlineStr">
        <is>
          <t>R11 Orbit</t>
        </is>
      </c>
      <c r="B12" s="42" t="inlineStr">
        <is>
          <t>1960 CE</t>
        </is>
      </c>
      <c r="C12" s="42" t="inlineStr">
        <is>
          <t>The Celestial Relay</t>
        </is>
      </c>
      <c r="D12" s="42" t="inlineStr">
        <is>
          <t>Data</t>
        </is>
      </c>
      <c r="E12" s="42" t="inlineStr">
        <is>
          <t>Conflagration</t>
        </is>
      </c>
      <c r="F12" s="42" t="inlineStr">
        <is>
          <t>Korolev (USSR) / von Braun (US)</t>
        </is>
      </c>
      <c r="G12" s="42" t="n">
        <v>4</v>
      </c>
      <c r="H12" s="42" t="inlineStr">
        <is>
          <t>Unified</t>
        </is>
      </c>
    </row>
    <row r="13">
      <c r="A13" s="42" t="inlineStr">
        <is>
          <t>R12 Human Nodes</t>
        </is>
      </c>
      <c r="B13" s="42" t="inlineStr">
        <is>
          <t>2000 CE</t>
        </is>
      </c>
      <c r="C13" s="42" t="inlineStr">
        <is>
          <t>The Biological Relay</t>
        </is>
      </c>
      <c r="D13" s="42" t="inlineStr">
        <is>
          <t>Cognition</t>
        </is>
      </c>
      <c r="E13" s="42" t="inlineStr">
        <is>
          <t>Conflict</t>
        </is>
      </c>
      <c r="F13" s="42" t="inlineStr">
        <is>
          <t>Berners-Lee → Nilekani → OpenAI</t>
        </is>
      </c>
      <c r="G13" s="42" t="n">
        <v>4</v>
      </c>
      <c r="H13" s="42" t="inlineStr">
        <is>
          <t>India, APAC, Unified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59.99609375" customWidth="1" min="3" max="3"/>
  </cols>
  <sheetData>
    <row r="1">
      <c r="A1" s="43" t="inlineStr">
        <is>
          <t>CORE EQUATIONS (0.1–10.0 Scale)</t>
        </is>
      </c>
      <c r="B1" s="44" t="n"/>
      <c r="C1" s="44" t="n"/>
    </row>
    <row r="2">
      <c r="A2" s="45" t="inlineStr">
        <is>
          <t>HICE (Individual)</t>
        </is>
      </c>
      <c r="B2" s="46" t="inlineStr">
        <is>
          <t>H = I × C × E</t>
        </is>
      </c>
      <c r="C2" s="47" t="inlineStr">
        <is>
          <t>IQ (Born With) × CQ (Created) × EQ (Developed)</t>
        </is>
      </c>
    </row>
    <row r="3">
      <c r="A3" s="45" t="inlineStr">
        <is>
          <t>Signal Formula</t>
        </is>
      </c>
      <c r="B3" s="46" t="inlineStr">
        <is>
          <t>S = (A × P) / β</t>
        </is>
      </c>
      <c r="C3" s="47" t="inlineStr">
        <is>
          <t>Amplitude × Persistence / Physical Drag</t>
        </is>
      </c>
    </row>
    <row r="4">
      <c r="A4" s="45" t="inlineStr">
        <is>
          <t>Seesaw Equation</t>
        </is>
      </c>
      <c r="B4" s="46" t="inlineStr">
        <is>
          <t>AD² = 16</t>
        </is>
      </c>
      <c r="C4" s="47" t="inlineStr">
        <is>
          <t>As capability (A) rises, resistance (D²) must rise faster</t>
        </is>
      </c>
    </row>
    <row r="5">
      <c r="A5" s="45" t="inlineStr">
        <is>
          <t>ISI (Civilisational)</t>
        </is>
      </c>
      <c r="B5" s="46" t="inlineStr">
        <is>
          <t>ISI = ISI₁ ⊗ ISI₂ ⊗ ISI₃</t>
        </is>
      </c>
      <c r="C5" s="47" t="inlineStr">
        <is>
          <t>Sustainability × Survival × $ignificance</t>
        </is>
      </c>
    </row>
    <row r="6">
      <c r="A6" s="45" t="inlineStr">
        <is>
          <t>Surplus Equilibrium</t>
        </is>
      </c>
      <c r="B6" s="46" t="inlineStr">
        <is>
          <t>A_surplus × P_gov / β_harm → stable</t>
        </is>
      </c>
      <c r="C6" s="47" t="inlineStr">
        <is>
          <t>Surplus domesticated when band is stable</t>
        </is>
      </c>
    </row>
    <row r="7">
      <c r="A7" s="45" t="inlineStr">
        <is>
          <t>Dominion Condition</t>
        </is>
      </c>
      <c r="B7" s="46" t="inlineStr">
        <is>
          <t>H must remain senior partner</t>
        </is>
      </c>
      <c r="C7" s="47" t="inlineStr">
        <is>
          <t>Holistic intelligence &gt; synthetic intelligence</t>
        </is>
      </c>
    </row>
    <row r="8">
      <c r="A8" s="45" t="n"/>
      <c r="B8" s="46" t="n"/>
      <c r="C8" s="47" t="n"/>
    </row>
    <row r="9">
      <c r="A9" s="43" t="inlineStr">
        <is>
          <t>RESISTANCE (Aggregate Scale)</t>
        </is>
      </c>
      <c r="B9" s="44" t="n"/>
      <c r="C9" s="44" t="n"/>
    </row>
    <row r="10">
      <c r="A10" s="45" t="inlineStr">
        <is>
          <t>Physical Drag β</t>
        </is>
      </c>
      <c r="B10" s="46" t="inlineStr">
        <is>
          <t>Single aggregate value (0.1–10.0)</t>
        </is>
      </c>
      <c r="C10" s="47" t="inlineStr">
        <is>
          <t>Composite of 4Cs: Conflict, Climate, Contagion, Cost</t>
        </is>
      </c>
    </row>
    <row r="11">
      <c r="A11" s="45" t="inlineStr">
        <is>
          <t>Ethical Drag λ</t>
        </is>
      </c>
      <c r="B11" s="46" t="inlineStr">
        <is>
          <t>Single aggregate value (0.1–10.0)</t>
        </is>
      </c>
      <c r="C11" s="47" t="inlineStr">
        <is>
          <t>Composite of: Doctrine, Grace, Interpretation</t>
        </is>
      </c>
    </row>
    <row r="12">
      <c r="A12" s="45" t="inlineStr">
        <is>
          <t>Additive Resistance</t>
        </is>
      </c>
      <c r="B12" s="46" t="inlineStr">
        <is>
          <t>R_add = β + λ</t>
        </is>
      </c>
      <c r="C12" s="47" t="inlineStr">
        <is>
          <t>Baseline load — how much total resistance</t>
        </is>
      </c>
    </row>
    <row r="13">
      <c r="A13" s="45" t="inlineStr">
        <is>
          <t>Multiplicative Resistance</t>
        </is>
      </c>
      <c r="B13" s="46" t="inlineStr">
        <is>
          <t>R_mult = β × λ</t>
        </is>
      </c>
      <c r="C13" s="47" t="inlineStr">
        <is>
          <t>Stress test — compounding when both high</t>
        </is>
      </c>
    </row>
    <row r="14">
      <c r="A14" s="45" t="inlineStr">
        <is>
          <t>Credit (Additive)</t>
        </is>
      </c>
      <c r="B14" s="46" t="inlineStr">
        <is>
          <t>C_add = (A × P) / R_add</t>
        </is>
      </c>
      <c r="C14" s="47" t="inlineStr">
        <is>
          <t>Governance capacity under additive load</t>
        </is>
      </c>
    </row>
    <row r="15">
      <c r="A15" s="45" t="inlineStr">
        <is>
          <t>Credit (Multiplicative)</t>
        </is>
      </c>
      <c r="B15" s="46" t="inlineStr">
        <is>
          <t>C_mult = (A × P) / R_mult</t>
        </is>
      </c>
      <c r="C15" s="47" t="inlineStr">
        <is>
          <t>Governance capacity under compounding load</t>
        </is>
      </c>
    </row>
    <row r="16">
      <c r="A16" s="45" t="inlineStr">
        <is>
          <t>Sensitivity Ratio</t>
        </is>
      </c>
      <c r="B16" s="46" t="inlineStr">
        <is>
          <t>ρ = C_add / C_mult</t>
        </is>
      </c>
      <c r="C16" s="47" t="inlineStr">
        <is>
          <t>ρ&lt;2 GREEN | 2≤ρ&lt;5 AMBER | ρ≥5 RED</t>
        </is>
      </c>
    </row>
    <row r="17">
      <c r="A17" s="45" t="n"/>
      <c r="B17" s="46" t="n"/>
      <c r="C17" s="47" t="n"/>
    </row>
    <row r="18">
      <c r="A18" s="43" t="inlineStr">
        <is>
          <t>SCALE GUIDE</t>
        </is>
      </c>
      <c r="B18" s="44" t="n"/>
      <c r="C18" s="44" t="n"/>
    </row>
    <row r="19">
      <c r="A19" s="45" t="inlineStr">
        <is>
          <t>A (Amplitude)</t>
        </is>
      </c>
      <c r="B19" s="46" t="inlineStr">
        <is>
          <t>0.1–10.0</t>
        </is>
      </c>
      <c r="C19" s="47" t="inlineStr">
        <is>
          <t>1-3: Local | 4-6: Regional | 7-8: Continental | 9-10: Global</t>
        </is>
      </c>
    </row>
    <row r="20">
      <c r="A20" s="45" t="inlineStr">
        <is>
          <t>P (Persistence)</t>
        </is>
      </c>
      <c r="B20" s="46" t="inlineStr">
        <is>
          <t>0.1–10.0</t>
        </is>
      </c>
      <c r="C20" s="47" t="inlineStr">
        <is>
          <t>1-3: Decades | 4-6: Centuries | 7-8: Millennia | 9-10: Permanent</t>
        </is>
      </c>
    </row>
    <row r="21">
      <c r="A21" s="45" t="inlineStr">
        <is>
          <t>β (Physical Drag)</t>
        </is>
      </c>
      <c r="B21" s="46" t="inlineStr">
        <is>
          <t>0.1–10.0</t>
        </is>
      </c>
      <c r="C21" s="47" t="inlineStr">
        <is>
          <t>1-3: Low drag | 4-6: Moderate | 7-8: High | 9-10: Catastrophic</t>
        </is>
      </c>
    </row>
    <row r="22">
      <c r="A22" s="45" t="inlineStr">
        <is>
          <t>λ (Ethical Drag)</t>
        </is>
      </c>
      <c r="B22" s="46" t="inlineStr">
        <is>
          <t>0.1–10.0</t>
        </is>
      </c>
      <c r="C22" s="47" t="inlineStr">
        <is>
          <t>1-3: Strong governance | 4-6: Moderate | 7-8: Weak | 9-10: Absent</t>
        </is>
      </c>
    </row>
    <row r="23">
      <c r="A23" s="45" t="n"/>
      <c r="B23" s="46" t="n"/>
      <c r="C23" s="47" t="n"/>
    </row>
    <row r="24">
      <c r="A24" s="43" t="inlineStr">
        <is>
          <t>TRAFFIC LIGHT THRESHOLDS</t>
        </is>
      </c>
      <c r="B24" s="44" t="n"/>
      <c r="C24" s="44" t="n"/>
    </row>
    <row r="25">
      <c r="A25" s="45" t="inlineStr">
        <is>
          <t>GREEN</t>
        </is>
      </c>
      <c r="B25" s="46" t="inlineStr">
        <is>
          <t>ρ &lt; 2.0</t>
        </is>
      </c>
      <c r="C25" s="47" t="inlineStr">
        <is>
          <t>System robust — additive and multiplicative loads similar</t>
        </is>
      </c>
    </row>
    <row r="26">
      <c r="A26" s="45" t="inlineStr">
        <is>
          <t>AMBER</t>
        </is>
      </c>
      <c r="B26" s="46" t="inlineStr">
        <is>
          <t>2.0 ≤ ρ &lt; 5.0</t>
        </is>
      </c>
      <c r="C26" s="47" t="inlineStr">
        <is>
          <t>System sensitive — compounding drag significantly amplifies risk</t>
        </is>
      </c>
    </row>
    <row r="27">
      <c r="A27" s="45" t="inlineStr">
        <is>
          <t>RED</t>
        </is>
      </c>
      <c r="B27" s="46" t="inlineStr">
        <is>
          <t>ρ ≥ 5.0</t>
        </is>
      </c>
      <c r="C27" s="47" t="inlineStr">
        <is>
          <t>System fragile — multiplicative collapse likely under stress</t>
        </is>
      </c>
    </row>
    <row r="28">
      <c r="A28" s="45" t="n"/>
      <c r="B28" s="46" t="n"/>
      <c r="C28" s="47" t="n"/>
    </row>
    <row r="29">
      <c r="A29" s="43" t="inlineStr">
        <is>
          <t>FRACTAL CONNECTOR (FC13)</t>
        </is>
      </c>
      <c r="B29" s="44" t="n"/>
      <c r="C29" s="44" t="n"/>
    </row>
    <row r="30">
      <c r="A30" s="45" t="inlineStr">
        <is>
          <t>FC13 Definition</t>
        </is>
      </c>
      <c r="B30" s="46" t="inlineStr">
        <is>
          <t>Intelligence layer binding 12 relays</t>
        </is>
      </c>
      <c r="C30" s="47" t="inlineStr">
        <is>
          <t>Sun Tzu Ch.13 (Use of Spies) = invisible web</t>
        </is>
      </c>
    </row>
    <row r="31">
      <c r="A31" s="45" t="inlineStr">
        <is>
          <t>iCU Nexus</t>
        </is>
      </c>
      <c r="B31" s="46" t="inlineStr">
        <is>
          <t>0 + 1 = System Node</t>
        </is>
      </c>
      <c r="C31" s="47" t="inlineStr">
        <is>
          <t>0 (The Field/civilisation) + 1 (The Individual) = engagement</t>
        </is>
      </c>
    </row>
    <row r="32">
      <c r="A32" s="45" t="inlineStr">
        <is>
          <t>Maslow-Dearden Dock</t>
        </is>
      </c>
      <c r="B32" s="46" t="inlineStr">
        <is>
          <t>Individual ↔ Civilisational</t>
        </is>
      </c>
      <c r="C32" s="47" t="inlineStr">
        <is>
          <t>Maslow apex = Cone apex = system-ready (Scholar 8)</t>
        </is>
      </c>
    </row>
    <row r="33">
      <c r="A33" s="45" t="inlineStr">
        <is>
          <t>Per Arya Ad Astra</t>
        </is>
      </c>
      <c r="B33" s="46" t="inlineStr">
        <is>
          <t>Why Thirteen</t>
        </is>
      </c>
      <c r="C33" s="47" t="inlineStr">
        <is>
          <t>13 cards per suit. 12 relays + FC13 completes the deal.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.98828125" customWidth="1" min="1" max="1"/>
    <col width="7.93359375" customWidth="1" min="2" max="2"/>
    <col width="13.98828125" customWidth="1" min="3" max="3"/>
    <col width="7.93359375" customWidth="1" min="4" max="4"/>
    <col width="43.98828125" customWidth="1" min="5" max="5"/>
    <col width="50.04296875" customWidth="1" min="6" max="6"/>
    <col width="11.97265625" customWidth="1" min="7" max="7"/>
  </cols>
  <sheetData>
    <row r="1">
      <c r="A1" s="1" t="inlineStr">
        <is>
          <t>Scholar</t>
        </is>
      </c>
      <c r="B1" s="1" t="inlineStr">
        <is>
          <t>Tier</t>
        </is>
      </c>
      <c r="C1" s="1" t="inlineStr">
        <is>
          <t>Period</t>
        </is>
      </c>
      <c r="D1" s="1" t="inlineStr">
        <is>
          <t>Ratio</t>
        </is>
      </c>
      <c r="E1" s="1" t="inlineStr">
        <is>
          <t>Contribution</t>
        </is>
      </c>
      <c r="F1" s="1" t="inlineStr">
        <is>
          <t>Examples Validated</t>
        </is>
      </c>
      <c r="G1" s="1" t="inlineStr">
        <is>
          <t>Relay Affinity</t>
        </is>
      </c>
    </row>
    <row r="2">
      <c r="A2" s="42" t="inlineStr">
        <is>
          <t>Homer</t>
        </is>
      </c>
      <c r="B2" s="42" t="inlineStr">
        <is>
          <t>Tier 1</t>
        </is>
      </c>
      <c r="C2" s="42" t="inlineStr">
        <is>
          <t>c. 800 BCE</t>
        </is>
      </c>
      <c r="D2" s="42" t="inlineStr">
        <is>
          <t>133x</t>
        </is>
      </c>
      <c r="E2" s="42" t="inlineStr">
        <is>
          <t>The Poet — narrative as civilisational memory</t>
        </is>
      </c>
      <c r="F2" s="42" t="inlineStr">
        <is>
          <t>Control of Fire</t>
        </is>
      </c>
      <c r="G2" s="42" t="inlineStr">
        <is>
          <t>R01</t>
        </is>
      </c>
    </row>
    <row r="3">
      <c r="A3" s="42" t="inlineStr">
        <is>
          <t>Confucius</t>
        </is>
      </c>
      <c r="B3" s="42" t="inlineStr">
        <is>
          <t>Tier 1</t>
        </is>
      </c>
      <c r="C3" s="42" t="inlineStr">
        <is>
          <t>551-479 BCE</t>
        </is>
      </c>
      <c r="D3" s="42" t="inlineStr">
        <is>
          <t>80x</t>
        </is>
      </c>
      <c r="E3" s="42" t="inlineStr">
        <is>
          <t>The Ethics Sage — governance through virtue</t>
        </is>
      </c>
      <c r="F3" s="42" t="inlineStr">
        <is>
          <t>Chinese Forestry, Antarctic Treaty</t>
        </is>
      </c>
      <c r="G3" s="42" t="inlineStr">
        <is>
          <t>R02-R03</t>
        </is>
      </c>
    </row>
    <row r="4">
      <c r="A4" s="42" t="inlineStr">
        <is>
          <t>Sun Tzu</t>
        </is>
      </c>
      <c r="B4" s="42" t="inlineStr">
        <is>
          <t>Tier 1</t>
        </is>
      </c>
      <c r="C4" s="42" t="inlineStr">
        <is>
          <t>c. 500 BCE</t>
        </is>
      </c>
      <c r="D4" s="42" t="inlineStr">
        <is>
          <t>80x</t>
        </is>
      </c>
      <c r="E4" s="42" t="inlineStr">
        <is>
          <t>The Strategist — infrastructure as strategy</t>
        </is>
      </c>
      <c r="F4" s="42" t="inlineStr">
        <is>
          <t>Great Wall, Mongol Yam, Zheng He, Deng Pivot, China HSR</t>
        </is>
      </c>
      <c r="G4" s="42" t="inlineStr">
        <is>
          <t>R04-R05</t>
        </is>
      </c>
    </row>
    <row r="5" ht="23.25" customHeight="1">
      <c r="A5" s="42" t="inlineStr">
        <is>
          <t>Aristotle</t>
        </is>
      </c>
      <c r="B5" s="42" t="inlineStr">
        <is>
          <t>Tier 1</t>
        </is>
      </c>
      <c r="C5" s="42" t="inlineStr">
        <is>
          <t>384-322 BCE</t>
        </is>
      </c>
      <c r="D5" s="42" t="inlineStr">
        <is>
          <t>53x</t>
        </is>
      </c>
      <c r="E5" s="42" t="inlineStr">
        <is>
          <t>The Philosopher — systematic classification</t>
        </is>
      </c>
      <c r="F5" s="42" t="inlineStr">
        <is>
          <t>Roman Aqueducts, Roman Roads, Hoover Dam, US Interstate, Liverpool-Manchester</t>
        </is>
      </c>
      <c r="G5" s="42" t="inlineStr">
        <is>
          <t>R03-R09</t>
        </is>
      </c>
    </row>
    <row r="6">
      <c r="A6" s="42" t="inlineStr">
        <is>
          <t>Sima Qian</t>
        </is>
      </c>
      <c r="B6" s="42" t="inlineStr">
        <is>
          <t>Tier 1</t>
        </is>
      </c>
      <c r="C6" s="42" t="inlineStr">
        <is>
          <t>145-86 BCE</t>
        </is>
      </c>
      <c r="D6" s="42" t="inlineStr">
        <is>
          <t>44x</t>
        </is>
      </c>
      <c r="E6" s="42" t="inlineStr">
        <is>
          <t>The Historian — recording as infrastructure</t>
        </is>
      </c>
      <c r="F6" s="42" t="inlineStr">
        <is>
          <t>Neolithic Fire, Indus Valley, Grand Canal</t>
        </is>
      </c>
      <c r="G6" s="42" t="inlineStr">
        <is>
          <t>R01-R03</t>
        </is>
      </c>
    </row>
    <row r="7">
      <c r="A7" s="42" t="inlineStr">
        <is>
          <t>Marco Polo</t>
        </is>
      </c>
      <c r="B7" s="42" t="inlineStr">
        <is>
          <t>Tier 1</t>
        </is>
      </c>
      <c r="C7" s="42" t="inlineStr">
        <is>
          <t>1254-1324 CE</t>
        </is>
      </c>
      <c r="D7" s="42" t="inlineStr">
        <is>
          <t>18x</t>
        </is>
      </c>
      <c r="E7" s="42" t="inlineStr">
        <is>
          <t>The Explorer — connectivity creates surplus</t>
        </is>
      </c>
      <c r="F7" s="42" t="inlineStr">
        <is>
          <t>Silk Road, Cedar of Lebanon, VOC, Dubai Hub</t>
        </is>
      </c>
      <c r="G7" s="42" t="inlineStr">
        <is>
          <t>R04-R06</t>
        </is>
      </c>
    </row>
    <row r="8">
      <c r="A8" s="42" t="inlineStr">
        <is>
          <t>Dearden</t>
        </is>
      </c>
      <c r="B8" s="42" t="inlineStr">
        <is>
          <t>Tier 1</t>
        </is>
      </c>
      <c r="C8" s="42" t="inlineStr">
        <is>
          <t>1969-</t>
        </is>
      </c>
      <c r="D8" s="42" t="inlineStr">
        <is>
          <t>1x</t>
        </is>
      </c>
      <c r="E8" s="42" t="inlineStr">
        <is>
          <t>The System Builder — civilisational calculus</t>
        </is>
      </c>
      <c r="F8" s="42" t="inlineStr">
        <is>
          <t>Global AI Safety Framework</t>
        </is>
      </c>
      <c r="G8" s="42" t="inlineStr">
        <is>
          <t>R12 + FC13</t>
        </is>
      </c>
    </row>
    <row r="9">
      <c r="A9" s="42" t="n"/>
      <c r="B9" s="42" t="n"/>
      <c r="C9" s="42" t="n"/>
      <c r="D9" s="42" t="n"/>
      <c r="E9" s="42" t="n"/>
      <c r="F9" s="42" t="n"/>
      <c r="G9" s="42" t="n"/>
    </row>
    <row r="10" ht="23.25" customHeight="1">
      <c r="A10" s="42" t="inlineStr">
        <is>
          <t>Maslow</t>
        </is>
      </c>
      <c r="B10" s="42" t="inlineStr">
        <is>
          <t>Tier 2</t>
        </is>
      </c>
      <c r="C10" s="42" t="inlineStr">
        <is>
          <t>1943</t>
        </is>
      </c>
      <c r="D10" s="42" t="inlineStr">
        <is>
          <t>—</t>
        </is>
      </c>
      <c r="E10" s="42" t="inlineStr">
        <is>
          <t>Human Potential — survival needs hierarchy</t>
        </is>
      </c>
      <c r="F10" s="42" t="inlineStr">
        <is>
          <t>Marshall Plan, Green Revolution, Iraq War, Desalination, Manchester Cotton</t>
        </is>
      </c>
      <c r="G10" s="42" t="inlineStr">
        <is>
          <t>R09-R10</t>
        </is>
      </c>
    </row>
    <row r="11">
      <c r="A11" s="42" t="inlineStr">
        <is>
          <t>Pólya</t>
        </is>
      </c>
      <c r="B11" s="42" t="inlineStr">
        <is>
          <t>Tier 2</t>
        </is>
      </c>
      <c r="C11" s="42" t="inlineStr">
        <is>
          <t>1945</t>
        </is>
      </c>
      <c r="D11" s="42" t="inlineStr">
        <is>
          <t>—</t>
        </is>
      </c>
      <c r="E11" s="42" t="inlineStr">
        <is>
          <t>Problem Solving — heuristic methodology</t>
        </is>
      </c>
      <c r="F11" s="42" t="inlineStr">
        <is>
          <t>IIT System, Singapore, Tokyo Resilience</t>
        </is>
      </c>
      <c r="G11" s="42" t="inlineStr">
        <is>
          <t>R10-R12</t>
        </is>
      </c>
    </row>
    <row r="12">
      <c r="A12" s="42" t="inlineStr">
        <is>
          <t>Turing</t>
        </is>
      </c>
      <c r="B12" s="42" t="inlineStr">
        <is>
          <t>Tier 2</t>
        </is>
      </c>
      <c r="C12" s="42" t="inlineStr">
        <is>
          <t>1950</t>
        </is>
      </c>
      <c r="D12" s="42" t="inlineStr">
        <is>
          <t>—</t>
        </is>
      </c>
      <c r="E12" s="42" t="inlineStr">
        <is>
          <t>Computation — machine intelligence</t>
        </is>
      </c>
      <c r="F12" s="42" t="inlineStr">
        <is>
          <t>Jacquard Loom, TSMC, Aadhaar/UPI</t>
        </is>
      </c>
      <c r="G12" s="42" t="inlineStr">
        <is>
          <t>R07-R12</t>
        </is>
      </c>
    </row>
    <row r="13">
      <c r="A13" s="42" t="inlineStr">
        <is>
          <t>De Bono</t>
        </is>
      </c>
      <c r="B13" s="42" t="inlineStr">
        <is>
          <t>Tier 2</t>
        </is>
      </c>
      <c r="C13" s="42" t="inlineStr">
        <is>
          <t>1967</t>
        </is>
      </c>
      <c r="D13" s="42" t="inlineStr">
        <is>
          <t>—</t>
        </is>
      </c>
      <c r="E13" s="42" t="inlineStr">
        <is>
          <t>Lateral Thinking — creative problem-solving</t>
        </is>
      </c>
      <c r="F13" s="42" t="inlineStr">
        <is>
          <t>Seoul Smart City</t>
        </is>
      </c>
      <c r="G13" s="42" t="inlineStr">
        <is>
          <t>R10-R12</t>
        </is>
      </c>
    </row>
    <row r="14">
      <c r="A14" s="42" t="inlineStr">
        <is>
          <t>Hawking</t>
        </is>
      </c>
      <c r="B14" s="42" t="inlineStr">
        <is>
          <t>Tier 2</t>
        </is>
      </c>
      <c r="C14" s="42" t="inlineStr">
        <is>
          <t>1988</t>
        </is>
      </c>
      <c r="D14" s="42" t="inlineStr">
        <is>
          <t>—</t>
        </is>
      </c>
      <c r="E14" s="42" t="inlineStr">
        <is>
          <t>Cosmos — existential risk awareness</t>
        </is>
      </c>
      <c r="F14" s="42" t="inlineStr">
        <is>
          <t>UK Rail Privatisation, Sputnik, ISS</t>
        </is>
      </c>
      <c r="G14" s="42" t="inlineStr">
        <is>
          <t>R08-R11</t>
        </is>
      </c>
    </row>
    <row r="15">
      <c r="A15" s="42" t="inlineStr">
        <is>
          <t>Berners-Lee</t>
        </is>
      </c>
      <c r="B15" s="42" t="inlineStr">
        <is>
          <t>Tier 2</t>
        </is>
      </c>
      <c r="C15" s="42" t="inlineStr">
        <is>
          <t>1989</t>
        </is>
      </c>
      <c r="D15" s="42" t="inlineStr">
        <is>
          <t>—</t>
        </is>
      </c>
      <c r="E15" s="42" t="inlineStr">
        <is>
          <t>The Web — R12 infrastructure</t>
        </is>
      </c>
      <c r="F15" s="42" t="inlineStr">
        <is>
          <t>CERN/WWW</t>
        </is>
      </c>
      <c r="G15" s="42" t="inlineStr">
        <is>
          <t>R11-R12</t>
        </is>
      </c>
    </row>
    <row r="16">
      <c r="A16" s="42" t="n"/>
      <c r="B16" s="42" t="n"/>
      <c r="C16" s="42" t="n"/>
      <c r="D16" s="42" t="n"/>
      <c r="E16" s="42" t="n"/>
      <c r="F16" s="42" t="n"/>
      <c r="G16" s="42" t="n"/>
    </row>
    <row r="17">
      <c r="A17" s="42" t="inlineStr">
        <is>
          <t>Feynman</t>
        </is>
      </c>
      <c r="B17" s="42" t="inlineStr">
        <is>
          <t>Hinge</t>
        </is>
      </c>
      <c r="C17" s="42" t="inlineStr">
        <is>
          <t>1985</t>
        </is>
      </c>
      <c r="D17" s="42" t="inlineStr">
        <is>
          <t>—</t>
        </is>
      </c>
      <c r="E17" s="42" t="inlineStr">
        <is>
          <t>Predicted non-human intelligence and reward-loop failure</t>
        </is>
      </c>
      <c r="F17" s="42" t="inlineStr">
        <is>
          <t>Bridges Tier 2 → Tier 5. R11→R12 transition</t>
        </is>
      </c>
      <c r="G17" s="42" t="inlineStr">
        <is>
          <t>R11→R12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"/>
    </sheetView>
  </sheetViews>
  <sheetFormatPr baseColWidth="8" defaultRowHeight="15"/>
  <cols>
    <col width="16.0078125" customWidth="1" min="1" max="1"/>
    <col width="22.05859375" customWidth="1" min="2" max="2"/>
    <col width="13.98828125" customWidth="1" min="3" max="3"/>
    <col width="27.98046875" customWidth="1" min="4" max="4"/>
    <col width="22.05859375" customWidth="1" min="5" max="5"/>
    <col width="55.01953125" customWidth="1" min="6" max="6"/>
  </cols>
  <sheetData>
    <row r="1">
      <c r="A1" s="1" t="inlineStr">
        <is>
          <t>Era</t>
        </is>
      </c>
      <c r="B1" s="1" t="inlineStr">
        <is>
          <t>Period</t>
        </is>
      </c>
      <c r="C1" s="1" t="inlineStr">
        <is>
          <t>Examples (No.)</t>
        </is>
      </c>
      <c r="D1" s="1" t="inlineStr">
        <is>
          <t>Relays Active</t>
        </is>
      </c>
      <c r="E1" s="1" t="inlineStr">
        <is>
          <t>Dominant Mode</t>
        </is>
      </c>
      <c r="F1" s="1" t="inlineStr">
        <is>
          <t>Key Transition</t>
        </is>
      </c>
    </row>
    <row r="2">
      <c r="A2" s="42" t="inlineStr">
        <is>
          <t>Pre-History</t>
        </is>
      </c>
      <c r="B2" s="42" t="inlineStr">
        <is>
          <t>1.5M BCE – 10,000 BCE</t>
        </is>
      </c>
      <c r="C2" s="42" t="inlineStr">
        <is>
          <t>1–2</t>
        </is>
      </c>
      <c r="D2" s="42" t="inlineStr">
        <is>
          <t>R01 Fire</t>
        </is>
      </c>
      <c r="E2" s="42" t="inlineStr">
        <is>
          <t>Universal (Pre-Mode)</t>
        </is>
      </c>
      <c r="F2" s="42" t="inlineStr">
        <is>
          <t>Fire → Brain → Language → Civilisation possible</t>
        </is>
      </c>
    </row>
    <row r="3">
      <c r="A3" s="42" t="inlineStr">
        <is>
          <t>Neolithic</t>
        </is>
      </c>
      <c r="B3" s="42" t="inlineStr">
        <is>
          <t>10,000 – 3,000 BCE</t>
        </is>
      </c>
      <c r="C3" s="42" t="inlineStr">
        <is>
          <t>3–4</t>
        </is>
      </c>
      <c r="D3" s="42" t="inlineStr">
        <is>
          <t>R01, R02 Tree</t>
        </is>
      </c>
      <c r="E3" s="42" t="inlineStr">
        <is>
          <t>East begins</t>
        </is>
      </c>
      <c r="F3" s="42" t="inlineStr">
        <is>
          <t>Agriculture → Settlement → Surplus → First extraction</t>
        </is>
      </c>
    </row>
    <row r="4">
      <c r="A4" s="42" t="inlineStr">
        <is>
          <t>Ancient</t>
        </is>
      </c>
      <c r="B4" s="42" t="inlineStr">
        <is>
          <t>3,000 – 700 BCE</t>
        </is>
      </c>
      <c r="C4" s="42" t="inlineStr">
        <is>
          <t>5–6</t>
        </is>
      </c>
      <c r="D4" s="42" t="inlineStr">
        <is>
          <t>R02, R03 River, R04 Horse</t>
        </is>
      </c>
      <c r="E4" s="42" t="inlineStr">
        <is>
          <t>East + India</t>
        </is>
      </c>
      <c r="F4" s="42" t="inlineStr">
        <is>
          <t>Hydraulic civilisations → Mobility → First walls</t>
        </is>
      </c>
    </row>
    <row r="5">
      <c r="A5" s="42" t="inlineStr">
        <is>
          <t>Classical</t>
        </is>
      </c>
      <c r="B5" s="42" t="inlineStr">
        <is>
          <t>700 BCE – 30 BCE</t>
        </is>
      </c>
      <c r="C5" s="42" t="inlineStr">
        <is>
          <t>7–10</t>
        </is>
      </c>
      <c r="D5" s="42" t="inlineStr">
        <is>
          <t>R03, R04, R05 Roads</t>
        </is>
      </c>
      <c r="E5" s="42" t="inlineStr">
        <is>
          <t>West emerges</t>
        </is>
      </c>
      <c r="F5" s="42" t="inlineStr">
        <is>
          <t>Roads → Empire → Trade routes → Aqueducts</t>
        </is>
      </c>
    </row>
    <row r="6">
      <c r="A6" s="42" t="inlineStr">
        <is>
          <t>Medieval</t>
        </is>
      </c>
      <c r="B6" s="42" t="inlineStr">
        <is>
          <t>200 CE – 1500 CE</t>
        </is>
      </c>
      <c r="C6" s="42" t="inlineStr">
        <is>
          <t>11–12</t>
        </is>
      </c>
      <c r="D6" s="42" t="inlineStr">
        <is>
          <t>R04, R06 Ships</t>
        </is>
      </c>
      <c r="E6" s="42" t="inlineStr">
        <is>
          <t>Bridge/Outrider peaks</t>
        </is>
      </c>
      <c r="F6" s="42" t="inlineStr">
        <is>
          <t>Mongol speed → Chinese naval supremacy → Voluntary withdrawal</t>
        </is>
      </c>
    </row>
    <row r="7">
      <c r="A7" s="42" t="inlineStr">
        <is>
          <t>Early Modern</t>
        </is>
      </c>
      <c r="B7" s="42" t="inlineStr">
        <is>
          <t>1500 – 1750</t>
        </is>
      </c>
      <c r="C7" s="42" t="inlineStr">
        <is>
          <t>13</t>
        </is>
      </c>
      <c r="D7" s="42" t="inlineStr">
        <is>
          <t>R06 Ships</t>
        </is>
      </c>
      <c r="E7" s="42" t="inlineStr">
        <is>
          <t>West extraction</t>
        </is>
      </c>
      <c r="F7" s="42" t="inlineStr">
        <is>
          <t>VOC → Global colonialism → Extraction disguised as trade</t>
        </is>
      </c>
    </row>
    <row r="8">
      <c r="A8" s="42" t="inlineStr">
        <is>
          <t>Industrial</t>
        </is>
      </c>
      <c r="B8" s="42" t="inlineStr">
        <is>
          <t>1750 – 1900</t>
        </is>
      </c>
      <c r="C8" s="42" t="inlineStr">
        <is>
          <t>14–16</t>
        </is>
      </c>
      <c r="D8" s="42" t="inlineStr">
        <is>
          <t>R07 Loom, R08 Rail</t>
        </is>
      </c>
      <c r="E8" s="42" t="inlineStr">
        <is>
          <t>West dominates</t>
        </is>
      </c>
      <c r="F8" s="42" t="inlineStr">
        <is>
          <t>Binary birth → Iron pulse → Time standardised → Nation-state</t>
        </is>
      </c>
    </row>
    <row r="9">
      <c r="A9" s="42" t="inlineStr">
        <is>
          <t>Pre-War 20th C</t>
        </is>
      </c>
      <c r="B9" s="42" t="inlineStr">
        <is>
          <t>1900 – 1945</t>
        </is>
      </c>
      <c r="C9" s="42" t="inlineStr">
        <is>
          <t>17</t>
        </is>
      </c>
      <c r="D9" s="42" t="inlineStr">
        <is>
          <t>R09 Engine</t>
        </is>
      </c>
      <c r="E9" s="42" t="inlineStr">
        <is>
          <t>West builds</t>
        </is>
      </c>
      <c r="F9" s="42" t="inlineStr">
        <is>
          <t>Megaprojects → Power concentration → War approaches</t>
        </is>
      </c>
    </row>
    <row r="10">
      <c r="A10" s="42" t="inlineStr">
        <is>
          <t>Post-War</t>
        </is>
      </c>
      <c r="B10" s="42" t="inlineStr">
        <is>
          <t>1945 – 1970</t>
        </is>
      </c>
      <c r="C10" s="42" t="inlineStr">
        <is>
          <t>18–24</t>
        </is>
      </c>
      <c r="D10" s="42" t="inlineStr">
        <is>
          <t>R08–R11</t>
        </is>
      </c>
      <c r="E10" s="42" t="inlineStr">
        <is>
          <t>All modes active</t>
        </is>
      </c>
      <c r="F10" s="42" t="inlineStr">
        <is>
          <t>Marshall Plan → Space Race → Green Revolution → Singapore → Treaties</t>
        </is>
      </c>
    </row>
    <row r="11">
      <c r="A11" s="42" t="inlineStr">
        <is>
          <t>Late 20th C</t>
        </is>
      </c>
      <c r="B11" s="42" t="inlineStr">
        <is>
          <t>1970 – 2000</t>
        </is>
      </c>
      <c r="C11" s="42" t="inlineStr">
        <is>
          <t>25–32</t>
        </is>
      </c>
      <c r="D11" s="42" t="inlineStr">
        <is>
          <t>R09–R12</t>
        </is>
      </c>
      <c r="E11" s="42" t="inlineStr">
        <is>
          <t>APAC rises</t>
        </is>
      </c>
      <c r="F11" s="42" t="inlineStr">
        <is>
          <t>Deng Pivot → TSMC → Web → Privatisation failure → Resilience</t>
        </is>
      </c>
    </row>
    <row r="12">
      <c r="A12" s="42" t="inlineStr">
        <is>
          <t>21st Century</t>
        </is>
      </c>
      <c r="B12" s="42" t="inlineStr">
        <is>
          <t>2000 – 2025</t>
        </is>
      </c>
      <c r="C12" s="42" t="inlineStr">
        <is>
          <t>33–36</t>
        </is>
      </c>
      <c r="D12" s="42" t="inlineStr">
        <is>
          <t>R10–R12</t>
        </is>
      </c>
      <c r="E12" s="42" t="inlineStr">
        <is>
          <t>Convergence needed</t>
        </is>
      </c>
      <c r="F12" s="42" t="inlineStr">
        <is>
          <t>Dubai hub → Iraq anti-credit → China HSR → Digital identity</t>
        </is>
      </c>
    </row>
    <row r="13">
      <c r="A13" s="42" t="inlineStr">
        <is>
          <t>Future</t>
        </is>
      </c>
      <c r="B13" s="42" t="inlineStr">
        <is>
          <t>2026+</t>
        </is>
      </c>
      <c r="C13" s="42" t="inlineStr">
        <is>
          <t>37</t>
        </is>
      </c>
      <c r="D13" s="42" t="inlineStr">
        <is>
          <t>R12 + FC13</t>
        </is>
      </c>
      <c r="E13" s="42" t="inlineStr">
        <is>
          <t>Unified (aspirational)</t>
        </is>
      </c>
      <c r="F13" s="42" t="inlineStr">
        <is>
          <t>AI governance → FC13 engagement → Per Arya Ad Astra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2026-06-20T14:03:52Z</dcterms:created>
  <dcterms:modified xmlns:dcterms="http://purl.org/dc/terms/" xmlns:xsi="http://www.w3.org/2001/XMLSchema-instance" xsi:type="dcterms:W3CDTF">2026-06-23T11:47:33Z</dcterms:modified>
</cp:coreProperties>
</file>